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gh00616_surrey_ac_uk/Documents/Desktop/PhD Folder/Energy Planning - Brazil/Hydrogen Production Code/"/>
    </mc:Choice>
  </mc:AlternateContent>
  <xr:revisionPtr revIDLastSave="22" documentId="8_{E7FCD21A-C68C-40FF-B06C-F29651B33E1A}" xr6:coauthVersionLast="47" xr6:coauthVersionMax="47" xr10:uidLastSave="{6CBBDAF1-8189-4995-95A0-C0E97C102B67}"/>
  <bookViews>
    <workbookView xWindow="-120" yWindow="-120" windowWidth="19440" windowHeight="15000" firstSheet="1" activeTab="1" xr2:uid="{9ADA2B01-FABB-498C-AD18-A4EA005D6A33}"/>
  </bookViews>
  <sheets>
    <sheet name="BIOMASS_DATABASE" sheetId="1" r:id="rId1"/>
    <sheet name="OPERATING_CONDITIONS" sheetId="2" r:id="rId2"/>
    <sheet name="HEAT_CAPACITY" sheetId="3" r:id="rId3"/>
    <sheet name="HEAT_GIBBS" sheetId="4" r:id="rId4"/>
    <sheet name="DEMAND" sheetId="5" r:id="rId5"/>
    <sheet name="FE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B67" i="1"/>
  <c r="K17" i="4"/>
  <c r="K15" i="4"/>
  <c r="K12" i="4"/>
  <c r="K16" i="4"/>
  <c r="M8" i="3"/>
  <c r="N63" i="1"/>
  <c r="M63" i="1"/>
  <c r="L63" i="1"/>
  <c r="K63" i="1"/>
  <c r="N62" i="1"/>
  <c r="M62" i="1"/>
  <c r="L62" i="1"/>
  <c r="K62" i="1"/>
  <c r="K14" i="1"/>
  <c r="K15" i="1"/>
  <c r="K16" i="1"/>
  <c r="K17" i="1"/>
  <c r="K18" i="1"/>
  <c r="K19" i="1"/>
  <c r="K20" i="1"/>
  <c r="K21" i="1"/>
  <c r="K22" i="1"/>
  <c r="K23" i="1"/>
  <c r="K24" i="1"/>
  <c r="K25" i="1"/>
  <c r="K13" i="1"/>
  <c r="C63" i="1"/>
  <c r="C62" i="1"/>
  <c r="D62" i="1"/>
  <c r="E62" i="1"/>
  <c r="F62" i="1"/>
  <c r="G62" i="1"/>
  <c r="H62" i="1"/>
  <c r="I62" i="1"/>
  <c r="J62" i="1"/>
  <c r="B62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D63" i="1"/>
  <c r="E63" i="1"/>
  <c r="F63" i="1"/>
  <c r="G63" i="1"/>
  <c r="H63" i="1"/>
  <c r="I63" i="1"/>
  <c r="J63" i="1"/>
  <c r="B63" i="1"/>
  <c r="P25" i="1"/>
  <c r="O25" i="1"/>
  <c r="N25" i="1"/>
  <c r="M25" i="1"/>
  <c r="L25" i="1"/>
  <c r="S25" i="1" s="1"/>
  <c r="X25" i="1" s="1"/>
  <c r="R25" i="1"/>
  <c r="P24" i="1"/>
  <c r="O24" i="1"/>
  <c r="N24" i="1"/>
  <c r="M24" i="1"/>
  <c r="L24" i="1"/>
  <c r="S24" i="1" s="1"/>
  <c r="X24" i="1" s="1"/>
  <c r="R24" i="1"/>
  <c r="P23" i="1"/>
  <c r="O23" i="1"/>
  <c r="M23" i="1"/>
  <c r="N23" i="1"/>
  <c r="L23" i="1"/>
  <c r="S23" i="1" s="1"/>
  <c r="X23" i="1" s="1"/>
  <c r="R23" i="1"/>
  <c r="P22" i="1"/>
  <c r="O22" i="1"/>
  <c r="M22" i="1"/>
  <c r="N22" i="1"/>
  <c r="L22" i="1"/>
  <c r="S22" i="1" s="1"/>
  <c r="X22" i="1" s="1"/>
  <c r="R22" i="1"/>
  <c r="P21" i="1"/>
  <c r="O21" i="1"/>
  <c r="N21" i="1"/>
  <c r="M21" i="1"/>
  <c r="L21" i="1"/>
  <c r="S21" i="1" s="1"/>
  <c r="X21" i="1" s="1"/>
  <c r="R21" i="1"/>
  <c r="R13" i="1"/>
  <c r="R14" i="1"/>
  <c r="R15" i="1"/>
  <c r="R16" i="1"/>
  <c r="R17" i="1"/>
  <c r="R18" i="1"/>
  <c r="R19" i="1"/>
  <c r="R20" i="1"/>
  <c r="R12" i="1"/>
  <c r="K14" i="4"/>
  <c r="P9" i="4"/>
  <c r="O9" i="4"/>
  <c r="N9" i="4"/>
  <c r="M9" i="4"/>
  <c r="P8" i="4"/>
  <c r="O8" i="4"/>
  <c r="N8" i="4"/>
  <c r="M8" i="4"/>
  <c r="P11" i="3"/>
  <c r="P10" i="3"/>
  <c r="P9" i="3"/>
  <c r="P8" i="3"/>
  <c r="O11" i="3"/>
  <c r="O10" i="3"/>
  <c r="O9" i="3"/>
  <c r="O8" i="3"/>
  <c r="K10" i="4"/>
  <c r="K11" i="4"/>
  <c r="K9" i="4"/>
  <c r="P14" i="1"/>
  <c r="P15" i="1"/>
  <c r="P16" i="1"/>
  <c r="P17" i="1"/>
  <c r="P18" i="1"/>
  <c r="P19" i="1"/>
  <c r="P20" i="1"/>
  <c r="P13" i="1"/>
  <c r="O14" i="1"/>
  <c r="O15" i="1"/>
  <c r="O16" i="1"/>
  <c r="O17" i="1"/>
  <c r="O18" i="1"/>
  <c r="O19" i="1"/>
  <c r="O20" i="1"/>
  <c r="O13" i="1"/>
  <c r="N14" i="1"/>
  <c r="N15" i="1"/>
  <c r="N16" i="1"/>
  <c r="N17" i="1"/>
  <c r="N18" i="1"/>
  <c r="N19" i="1"/>
  <c r="N20" i="1"/>
  <c r="N13" i="1"/>
  <c r="M14" i="1"/>
  <c r="M15" i="1"/>
  <c r="M16" i="1"/>
  <c r="M17" i="1"/>
  <c r="M18" i="1"/>
  <c r="M19" i="1"/>
  <c r="M20" i="1"/>
  <c r="M13" i="1"/>
  <c r="L14" i="1"/>
  <c r="S14" i="1" s="1"/>
  <c r="X14" i="1" s="1"/>
  <c r="L15" i="1"/>
  <c r="S15" i="1" s="1"/>
  <c r="X15" i="1" s="1"/>
  <c r="L16" i="1"/>
  <c r="S16" i="1" s="1"/>
  <c r="X16" i="1" s="1"/>
  <c r="L17" i="1"/>
  <c r="S17" i="1" s="1"/>
  <c r="X17" i="1" s="1"/>
  <c r="L18" i="1"/>
  <c r="S18" i="1" s="1"/>
  <c r="X18" i="1" s="1"/>
  <c r="L19" i="1"/>
  <c r="S19" i="1" s="1"/>
  <c r="X19" i="1" s="1"/>
  <c r="L20" i="1"/>
  <c r="S20" i="1" s="1"/>
  <c r="X20" i="1" s="1"/>
  <c r="L13" i="1"/>
  <c r="S13" i="1" s="1"/>
  <c r="X13" i="1" s="1"/>
  <c r="N11" i="3"/>
  <c r="N10" i="3"/>
  <c r="N9" i="3"/>
  <c r="N8" i="3"/>
  <c r="M9" i="3"/>
  <c r="M11" i="3"/>
  <c r="M10" i="3"/>
  <c r="T25" i="1" l="1"/>
  <c r="W25" i="1"/>
  <c r="T22" i="1"/>
  <c r="U25" i="1"/>
  <c r="V25" i="1"/>
  <c r="T24" i="1"/>
  <c r="U24" i="1"/>
  <c r="V24" i="1"/>
  <c r="U23" i="1"/>
  <c r="T23" i="1"/>
  <c r="T21" i="1"/>
  <c r="U22" i="1"/>
  <c r="V23" i="1"/>
  <c r="W24" i="1"/>
  <c r="V21" i="1"/>
  <c r="U21" i="1"/>
  <c r="W23" i="1"/>
  <c r="W21" i="1"/>
  <c r="W22" i="1"/>
  <c r="V22" i="1"/>
  <c r="U16" i="1"/>
  <c r="U18" i="1"/>
  <c r="V18" i="1"/>
  <c r="U14" i="1"/>
  <c r="U20" i="1"/>
  <c r="W13" i="1"/>
  <c r="T20" i="1"/>
  <c r="V20" i="1"/>
  <c r="W20" i="1"/>
  <c r="T19" i="1"/>
  <c r="U19" i="1"/>
  <c r="V19" i="1"/>
  <c r="W19" i="1"/>
  <c r="T18" i="1"/>
  <c r="T17" i="1"/>
  <c r="U17" i="1"/>
  <c r="V17" i="1"/>
  <c r="W17" i="1"/>
  <c r="W15" i="1"/>
  <c r="W18" i="1"/>
  <c r="T16" i="1"/>
  <c r="V16" i="1"/>
  <c r="W16" i="1"/>
  <c r="T15" i="1"/>
  <c r="U15" i="1"/>
  <c r="V15" i="1"/>
  <c r="T14" i="1"/>
  <c r="V14" i="1"/>
  <c r="W14" i="1"/>
  <c r="T13" i="1"/>
  <c r="U13" i="1"/>
  <c r="V13" i="1"/>
</calcChain>
</file>

<file path=xl/sharedStrings.xml><?xml version="1.0" encoding="utf-8"?>
<sst xmlns="http://schemas.openxmlformats.org/spreadsheetml/2006/main" count="183" uniqueCount="112">
  <si>
    <t>No.</t>
  </si>
  <si>
    <t>Type</t>
  </si>
  <si>
    <t>C</t>
  </si>
  <si>
    <t>H</t>
  </si>
  <si>
    <t>O</t>
  </si>
  <si>
    <t>N</t>
  </si>
  <si>
    <t>S</t>
  </si>
  <si>
    <t>Bamboo</t>
  </si>
  <si>
    <t>EFB</t>
  </si>
  <si>
    <t>Oil Palm Frond</t>
  </si>
  <si>
    <t>Palm Kernel Shell</t>
  </si>
  <si>
    <t>Pomace</t>
  </si>
  <si>
    <t>Rice Husk</t>
  </si>
  <si>
    <t>Wood Chips</t>
  </si>
  <si>
    <t>Wood Pellet</t>
  </si>
  <si>
    <t>Condition</t>
  </si>
  <si>
    <t>Value</t>
  </si>
  <si>
    <t>Gasifying Agent</t>
  </si>
  <si>
    <t>Chemical Species</t>
  </si>
  <si>
    <t>Formula</t>
  </si>
  <si>
    <t>Tmax</t>
  </si>
  <si>
    <t>A</t>
  </si>
  <si>
    <t>Methane</t>
  </si>
  <si>
    <t>Hydrogen</t>
  </si>
  <si>
    <t>Carbon monoxide</t>
  </si>
  <si>
    <t>Carbon dioxide</t>
  </si>
  <si>
    <t>Nitrogen</t>
  </si>
  <si>
    <t>Water</t>
  </si>
  <si>
    <t>CH4</t>
  </si>
  <si>
    <t>H2</t>
  </si>
  <si>
    <t>CO</t>
  </si>
  <si>
    <t>CO2</t>
  </si>
  <si>
    <t>N2</t>
  </si>
  <si>
    <t>H2O</t>
  </si>
  <si>
    <t>Carbon</t>
  </si>
  <si>
    <t>Heat Capacity (constants A, B, C, D)</t>
  </si>
  <si>
    <t>Gibbs functions of Formation (kJ/kmol) and Heats of Formation (kJ/kmol) at 298.15 K</t>
  </si>
  <si>
    <t>Phase</t>
  </si>
  <si>
    <t>ΔH</t>
  </si>
  <si>
    <t>ΔG</t>
  </si>
  <si>
    <t>Oxygen</t>
  </si>
  <si>
    <t>O2</t>
  </si>
  <si>
    <t>g</t>
  </si>
  <si>
    <t>l</t>
  </si>
  <si>
    <t>ΔA</t>
  </si>
  <si>
    <t>ΔB</t>
  </si>
  <si>
    <t>ΔC</t>
  </si>
  <si>
    <t>ΔD</t>
  </si>
  <si>
    <t>(1e3)xB</t>
  </si>
  <si>
    <t>(1e6)xC</t>
  </si>
  <si>
    <t>(1e-5)xD</t>
  </si>
  <si>
    <t>Temperature of Formation (K)</t>
  </si>
  <si>
    <t>Universal Gas Constant (J/molK)</t>
  </si>
  <si>
    <t>Molar Masses (g/mol)</t>
  </si>
  <si>
    <t>mol</t>
  </si>
  <si>
    <t>Methanation in Gasification</t>
  </si>
  <si>
    <t>Water-gas shift in Gasification</t>
  </si>
  <si>
    <r>
      <t>ΔH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(for k1) - kJ / kmol</t>
    </r>
  </si>
  <si>
    <r>
      <t>ΔH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(for k2) - kJ / kmol</t>
    </r>
  </si>
  <si>
    <r>
      <t>ΔG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(for k1) - kJ / kmol</t>
    </r>
  </si>
  <si>
    <r>
      <t>ΔG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 xml:space="preserve"> (for k2) - kJ / kmol</t>
    </r>
  </si>
  <si>
    <t>Methanation</t>
  </si>
  <si>
    <t>Water-Gas Shift</t>
  </si>
  <si>
    <t>Water (l)</t>
  </si>
  <si>
    <t>J (for k1)</t>
  </si>
  <si>
    <t>k1</t>
  </si>
  <si>
    <t>k2</t>
  </si>
  <si>
    <t>J (for k2)</t>
  </si>
  <si>
    <t>w</t>
  </si>
  <si>
    <t>M</t>
  </si>
  <si>
    <t>Biomass Type</t>
  </si>
  <si>
    <t>Dried Sewage Sludge</t>
  </si>
  <si>
    <t>Manure</t>
  </si>
  <si>
    <t>Date Pits Waste</t>
  </si>
  <si>
    <t>Sugarcane Bagasse</t>
  </si>
  <si>
    <t>MSW</t>
  </si>
  <si>
    <t>Feed</t>
  </si>
  <si>
    <t>Temperature Fix</t>
  </si>
  <si>
    <t>Yes</t>
  </si>
  <si>
    <t>I (for k1) Integration Constant</t>
  </si>
  <si>
    <t>I (for k2) - Integration Constant</t>
  </si>
  <si>
    <t>AF Ratio</t>
  </si>
  <si>
    <t>Inlet Temperature (°C)</t>
  </si>
  <si>
    <r>
      <t>Gasification Temperature (</t>
    </r>
    <r>
      <rPr>
        <sz val="11"/>
        <color theme="1"/>
        <rFont val="Aptos Narrow"/>
        <family val="2"/>
      </rPr>
      <t>°C)</t>
    </r>
  </si>
  <si>
    <t>Drying Temperature (°C)</t>
  </si>
  <si>
    <t>Cellulose</t>
  </si>
  <si>
    <t>Hemicellulose</t>
  </si>
  <si>
    <t>Lignin</t>
  </si>
  <si>
    <t>MC</t>
  </si>
  <si>
    <t>Parameters</t>
  </si>
  <si>
    <t>Values</t>
  </si>
  <si>
    <t>Cp​ (kJ/kg·K) of Cellulose at Ambient / Inlet Temperature</t>
  </si>
  <si>
    <t>Cp​ (kJ/kg·K) of Hemicellulose at Ambient / Inlet Temperature</t>
  </si>
  <si>
    <t>Cp​ (kJ/kg·K) of Lignin at Ambient / Inlet Temperature</t>
  </si>
  <si>
    <t>Specific heat capacity of water (kJ/kg·K) at Ambient / Inlet Temperature</t>
  </si>
  <si>
    <t>Drying</t>
  </si>
  <si>
    <t>Specific heat capacity of air (kJ/kg·K) at Ambient / Inlet Temperature</t>
  </si>
  <si>
    <t>Specific heat capacity of vapours (kJ/kg·K)</t>
  </si>
  <si>
    <t>Heat of Vaporisation (KJ/kg)</t>
  </si>
  <si>
    <t>SB Ratio</t>
  </si>
  <si>
    <t>0.5-2</t>
  </si>
  <si>
    <t>VM</t>
  </si>
  <si>
    <t>FC</t>
  </si>
  <si>
    <t>HHV</t>
  </si>
  <si>
    <t>LHV</t>
  </si>
  <si>
    <t>wt. %</t>
  </si>
  <si>
    <t>1-1.78</t>
  </si>
  <si>
    <t>Steam</t>
  </si>
  <si>
    <t>CP</t>
  </si>
  <si>
    <t>Maximum Feed</t>
  </si>
  <si>
    <t>kg/s</t>
  </si>
  <si>
    <t>Maximum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</si>
</sst>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2BEF-705A-4283-A709-7983814748AE}">
  <dimension ref="A3:AI68"/>
  <sheetViews>
    <sheetView topLeftCell="A50" workbookViewId="0">
      <selection activeCell="B69" sqref="B69"/>
    </sheetView>
  </sheetViews>
  <sheetFormatPr defaultRowHeight="15" x14ac:dyDescent="0.25"/>
  <cols>
    <col min="1" max="1" width="16" customWidth="1"/>
    <col min="2" max="2" width="16.5703125" customWidth="1"/>
    <col min="3" max="3" width="18.140625" customWidth="1"/>
    <col min="4" max="9" width="16.5703125" customWidth="1"/>
    <col min="10" max="15" width="15.5703125" customWidth="1"/>
    <col min="18" max="18" width="19.5703125" customWidth="1"/>
    <col min="19" max="20" width="10.42578125" bestFit="1" customWidth="1"/>
    <col min="21" max="21" width="8.7109375" customWidth="1"/>
    <col min="22" max="24" width="10.42578125" bestFit="1" customWidth="1"/>
    <col min="25" max="25" width="11.42578125" bestFit="1" customWidth="1"/>
    <col min="26" max="31" width="9.42578125" bestFit="1" customWidth="1"/>
  </cols>
  <sheetData>
    <row r="3" spans="2:35" x14ac:dyDescent="0.25">
      <c r="R3" t="s">
        <v>53</v>
      </c>
    </row>
    <row r="4" spans="2:35" x14ac:dyDescent="0.25">
      <c r="R4" t="s">
        <v>2</v>
      </c>
      <c r="S4">
        <v>12.01</v>
      </c>
    </row>
    <row r="5" spans="2:35" x14ac:dyDescent="0.25">
      <c r="R5" t="s">
        <v>3</v>
      </c>
      <c r="S5">
        <v>1.008</v>
      </c>
    </row>
    <row r="6" spans="2:35" x14ac:dyDescent="0.25">
      <c r="R6" t="s">
        <v>4</v>
      </c>
      <c r="S6">
        <v>16</v>
      </c>
    </row>
    <row r="7" spans="2:35" x14ac:dyDescent="0.25">
      <c r="R7" t="s">
        <v>5</v>
      </c>
      <c r="S7">
        <v>28.02</v>
      </c>
    </row>
    <row r="8" spans="2:35" x14ac:dyDescent="0.25">
      <c r="R8" t="s">
        <v>6</v>
      </c>
      <c r="S8">
        <v>32.064999999999998</v>
      </c>
    </row>
    <row r="11" spans="2:35" x14ac:dyDescent="0.25">
      <c r="D11" s="19" t="s">
        <v>105</v>
      </c>
      <c r="E11" s="19"/>
      <c r="F11" s="19"/>
      <c r="G11" s="19"/>
      <c r="H11" s="19"/>
      <c r="L11" s="19" t="s">
        <v>54</v>
      </c>
      <c r="M11" s="19"/>
      <c r="N11" s="19"/>
      <c r="O11" s="19"/>
      <c r="P11" s="19"/>
      <c r="Q11" s="1"/>
      <c r="S11" s="19" t="s">
        <v>19</v>
      </c>
      <c r="T11" s="19"/>
      <c r="U11" s="19"/>
      <c r="V11" s="19"/>
      <c r="W11" s="19"/>
    </row>
    <row r="12" spans="2:35" x14ac:dyDescent="0.25"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69</v>
      </c>
      <c r="J12" s="2" t="s">
        <v>103</v>
      </c>
      <c r="K12" s="2"/>
      <c r="L12" s="4" t="s">
        <v>2</v>
      </c>
      <c r="M12" s="4" t="s">
        <v>3</v>
      </c>
      <c r="N12" s="4" t="s">
        <v>4</v>
      </c>
      <c r="O12" s="4" t="s">
        <v>5</v>
      </c>
      <c r="P12" s="4" t="s">
        <v>6</v>
      </c>
      <c r="Q12" s="2"/>
      <c r="R12" s="4" t="str">
        <f>C12</f>
        <v>Type</v>
      </c>
      <c r="S12" s="4" t="s">
        <v>2</v>
      </c>
      <c r="T12" s="4" t="s">
        <v>3</v>
      </c>
      <c r="U12" s="4" t="s">
        <v>4</v>
      </c>
      <c r="V12" s="4" t="s">
        <v>5</v>
      </c>
      <c r="W12" s="4" t="s">
        <v>6</v>
      </c>
      <c r="X12" s="4" t="s">
        <v>68</v>
      </c>
      <c r="Y12" s="2"/>
      <c r="Z12" s="2"/>
      <c r="AA12" s="2"/>
      <c r="AB12" s="2"/>
      <c r="AC12" s="2"/>
      <c r="AE12" s="2"/>
      <c r="AF12" s="2"/>
      <c r="AG12" s="2"/>
      <c r="AH12" s="2"/>
      <c r="AI12" s="2"/>
    </row>
    <row r="13" spans="2:35" x14ac:dyDescent="0.25">
      <c r="B13" s="7">
        <v>1</v>
      </c>
      <c r="C13" s="8" t="s">
        <v>7</v>
      </c>
      <c r="D13" s="7">
        <v>40.64</v>
      </c>
      <c r="E13" s="7">
        <v>5.64</v>
      </c>
      <c r="F13" s="7">
        <v>44.09</v>
      </c>
      <c r="G13" s="7">
        <v>0.52</v>
      </c>
      <c r="H13" s="7">
        <v>0.03</v>
      </c>
      <c r="I13" s="7">
        <v>0.2</v>
      </c>
      <c r="J13">
        <f>(0.3491*D13)+(1.1783*E13)+(0.1005*H13)-(0.0151*G13)-(0.1034*F13)-(0.211*B60)</f>
        <v>12.846873000000002</v>
      </c>
      <c r="K13">
        <f>(0.519*D13)+(1.625*E13)+(0.001*F13)-17.87</f>
        <v>12.431249999999999</v>
      </c>
      <c r="L13">
        <f>D13/$S$4</f>
        <v>3.3838467943380519</v>
      </c>
      <c r="M13">
        <f>E13/$S$5</f>
        <v>5.5952380952380949</v>
      </c>
      <c r="N13">
        <f>F13/$S$6</f>
        <v>2.7556250000000002</v>
      </c>
      <c r="O13">
        <f>G13/$S$7</f>
        <v>1.8558172733761601E-2</v>
      </c>
      <c r="P13">
        <f>H13/$S$8</f>
        <v>9.3559956338687042E-4</v>
      </c>
      <c r="R13" s="8" t="str">
        <f t="shared" ref="R13:R25" si="0">C13</f>
        <v>Bamboo</v>
      </c>
      <c r="S13" s="9">
        <f>L13/$L$13</f>
        <v>1</v>
      </c>
      <c r="T13" s="9">
        <f>M13/$L$13</f>
        <v>1.6535140138732656</v>
      </c>
      <c r="U13" s="9">
        <f>N13/$L$13</f>
        <v>0.81434685654527561</v>
      </c>
      <c r="V13" s="9">
        <f>O13/$L$13</f>
        <v>5.4843418930235434E-3</v>
      </c>
      <c r="W13" s="9">
        <f>P13/$L$13</f>
        <v>2.7648993002648409E-4</v>
      </c>
      <c r="X13" s="9">
        <f>(24*I13*S13)/(18*(1-(I13*S13)))</f>
        <v>0.33333333333333337</v>
      </c>
      <c r="Y13" s="10"/>
      <c r="Z13" s="11">
        <v>1</v>
      </c>
      <c r="AA13" s="11">
        <v>1.6535140138732656</v>
      </c>
      <c r="AB13" s="11">
        <v>0.81434685654527561</v>
      </c>
      <c r="AC13" s="11">
        <v>5.4843418930235434E-3</v>
      </c>
      <c r="AD13" s="11">
        <v>2.7648993002648409E-4</v>
      </c>
      <c r="AE13" s="11">
        <v>0.33333333333333337</v>
      </c>
    </row>
    <row r="14" spans="2:35" x14ac:dyDescent="0.25">
      <c r="B14" s="7">
        <v>2</v>
      </c>
      <c r="C14" s="8" t="s">
        <v>8</v>
      </c>
      <c r="D14" s="7">
        <v>43.53</v>
      </c>
      <c r="E14" s="7">
        <v>7.2</v>
      </c>
      <c r="F14" s="7">
        <v>47.09</v>
      </c>
      <c r="G14" s="7">
        <v>1.73</v>
      </c>
      <c r="H14" s="7">
        <v>0.46</v>
      </c>
      <c r="I14" s="7">
        <v>0.2</v>
      </c>
      <c r="J14">
        <f>(0.3491*D14)+(1.1783*E14)+(0.1005*H14)-(0.0151*G14)-(0.1034*F14)-(0.211*C60)</f>
        <v>15.408664000000005</v>
      </c>
      <c r="K14">
        <f t="shared" ref="K14:K25" si="1">(0.519*D14)+(1.625*E14)+(0.001*F14)-17.87</f>
        <v>16.469159999999999</v>
      </c>
      <c r="L14">
        <f t="shared" ref="L14:L25" si="2">D14/$S$4</f>
        <v>3.6244796003330562</v>
      </c>
      <c r="M14">
        <f t="shared" ref="M14:M25" si="3">E14/$S$5</f>
        <v>7.1428571428571432</v>
      </c>
      <c r="N14">
        <f t="shared" ref="N14:N25" si="4">F14/$S$6</f>
        <v>2.9431250000000002</v>
      </c>
      <c r="O14">
        <f t="shared" ref="O14:O25" si="5">G14/$S$7</f>
        <v>6.1741613133476092E-2</v>
      </c>
      <c r="P14">
        <f t="shared" ref="P14:P25" si="6">H14/$S$8</f>
        <v>1.4345859971932015E-2</v>
      </c>
      <c r="R14" s="8" t="str">
        <f t="shared" si="0"/>
        <v>EFB</v>
      </c>
      <c r="S14" s="9">
        <f>L14/$L$14</f>
        <v>1</v>
      </c>
      <c r="T14" s="9">
        <f t="shared" ref="T14:W14" si="7">M14/$L$14</f>
        <v>1.9707262643168915</v>
      </c>
      <c r="U14" s="9">
        <f t="shared" si="7"/>
        <v>0.81201312313347118</v>
      </c>
      <c r="V14" s="9">
        <f t="shared" si="7"/>
        <v>1.7034614604480768E-2</v>
      </c>
      <c r="W14" s="9">
        <f t="shared" si="7"/>
        <v>3.9580468243258322E-3</v>
      </c>
      <c r="X14" s="9">
        <f t="shared" ref="X14:X19" si="8">(24*I14*S14)/(18*(1-(I14*S14)))</f>
        <v>0.33333333333333337</v>
      </c>
      <c r="Y14" s="10"/>
      <c r="Z14" s="11">
        <v>1</v>
      </c>
      <c r="AA14" s="11">
        <v>1.9707262643168915</v>
      </c>
      <c r="AB14" s="11">
        <v>0.81201312313347118</v>
      </c>
      <c r="AC14" s="11">
        <v>1.7034614604480768E-2</v>
      </c>
      <c r="AD14" s="11">
        <v>3.9580468243258322E-3</v>
      </c>
      <c r="AE14" s="11">
        <v>0.33333333333333337</v>
      </c>
    </row>
    <row r="15" spans="2:35" x14ac:dyDescent="0.25">
      <c r="B15" s="7">
        <v>3</v>
      </c>
      <c r="C15" s="8" t="s">
        <v>9</v>
      </c>
      <c r="D15" s="7">
        <v>43.94</v>
      </c>
      <c r="E15" s="7">
        <v>6.94</v>
      </c>
      <c r="F15" s="7">
        <v>44.88</v>
      </c>
      <c r="G15" s="7">
        <v>3.52</v>
      </c>
      <c r="H15" s="7">
        <v>0.72</v>
      </c>
      <c r="I15" s="7">
        <v>0.2</v>
      </c>
      <c r="J15">
        <f>(0.3491*D15)+(1.1783*E15)+(0.1005*H15)-(0.0151*G15)-(0.1034*F15)-(0.211*D60)</f>
        <v>15.473051999999996</v>
      </c>
      <c r="K15">
        <f t="shared" si="1"/>
        <v>16.257239999999992</v>
      </c>
      <c r="L15">
        <f t="shared" si="2"/>
        <v>3.6586178184845961</v>
      </c>
      <c r="M15">
        <f t="shared" si="3"/>
        <v>6.8849206349206353</v>
      </c>
      <c r="N15">
        <f t="shared" si="4"/>
        <v>2.8050000000000002</v>
      </c>
      <c r="O15">
        <f t="shared" si="5"/>
        <v>0.12562455389007851</v>
      </c>
      <c r="P15">
        <f t="shared" si="6"/>
        <v>2.2454389521284892E-2</v>
      </c>
      <c r="R15" s="8" t="str">
        <f t="shared" si="0"/>
        <v>Oil Palm Frond</v>
      </c>
      <c r="S15" s="9">
        <f>L15/$L$15</f>
        <v>1</v>
      </c>
      <c r="T15" s="9">
        <f t="shared" ref="T15:W15" si="9">M15/$L$15</f>
        <v>1.8818365231087126</v>
      </c>
      <c r="U15" s="9">
        <f t="shared" si="9"/>
        <v>0.76668297678652719</v>
      </c>
      <c r="V15" s="9">
        <f t="shared" si="9"/>
        <v>3.4336615662718319E-2</v>
      </c>
      <c r="W15" s="9">
        <f t="shared" si="9"/>
        <v>6.1373968627817833E-3</v>
      </c>
      <c r="X15" s="9">
        <f t="shared" si="8"/>
        <v>0.33333333333333337</v>
      </c>
      <c r="Y15" s="10"/>
      <c r="Z15" s="11">
        <v>1</v>
      </c>
      <c r="AA15" s="11">
        <v>1.8818365231087126</v>
      </c>
      <c r="AB15" s="11">
        <v>0.76668297678652719</v>
      </c>
      <c r="AC15" s="11">
        <v>3.4336615662718319E-2</v>
      </c>
      <c r="AD15" s="11">
        <v>6.1373968627817833E-3</v>
      </c>
      <c r="AE15" s="11">
        <v>0.33333333333333337</v>
      </c>
    </row>
    <row r="16" spans="2:35" x14ac:dyDescent="0.25">
      <c r="B16" s="7">
        <v>4</v>
      </c>
      <c r="C16" s="8" t="s">
        <v>10</v>
      </c>
      <c r="D16" s="7">
        <v>49.91</v>
      </c>
      <c r="E16" s="7">
        <v>6.94</v>
      </c>
      <c r="F16" s="7">
        <v>38.200000000000003</v>
      </c>
      <c r="G16" s="7">
        <v>3.52</v>
      </c>
      <c r="H16" s="7">
        <v>0.72</v>
      </c>
      <c r="I16" s="7">
        <v>0.2</v>
      </c>
      <c r="J16">
        <f>(0.3491*D16)+(1.1783*E16)+(0.1005*H16)-(0.0151*G16)-(0.1034*F16)-(0.211*E60)</f>
        <v>18.247890999999999</v>
      </c>
      <c r="K16">
        <f t="shared" si="1"/>
        <v>19.348990000000004</v>
      </c>
      <c r="L16">
        <f t="shared" si="2"/>
        <v>4.1557035803497087</v>
      </c>
      <c r="M16">
        <f t="shared" si="3"/>
        <v>6.8849206349206353</v>
      </c>
      <c r="N16">
        <f t="shared" si="4"/>
        <v>2.3875000000000002</v>
      </c>
      <c r="O16">
        <f t="shared" si="5"/>
        <v>0.12562455389007851</v>
      </c>
      <c r="P16">
        <f t="shared" si="6"/>
        <v>2.2454389521284892E-2</v>
      </c>
      <c r="R16" s="8" t="str">
        <f t="shared" si="0"/>
        <v>Palm Kernel Shell</v>
      </c>
      <c r="S16" s="9">
        <f>L16/$L$16</f>
        <v>1</v>
      </c>
      <c r="T16" s="9">
        <f t="shared" ref="T16:W16" si="10">M16/$L$16</f>
        <v>1.6567400686314733</v>
      </c>
      <c r="U16" s="9">
        <f t="shared" si="10"/>
        <v>0.57451162091765184</v>
      </c>
      <c r="V16" s="9">
        <f t="shared" si="10"/>
        <v>3.022943081987263E-2</v>
      </c>
      <c r="W16" s="9">
        <f t="shared" si="10"/>
        <v>5.4032702494616622E-3</v>
      </c>
      <c r="X16" s="9">
        <f t="shared" si="8"/>
        <v>0.33333333333333337</v>
      </c>
      <c r="Y16" s="10"/>
      <c r="Z16" s="11">
        <v>1</v>
      </c>
      <c r="AA16" s="11">
        <v>1.6567400686314733</v>
      </c>
      <c r="AB16" s="11">
        <v>0.57451162091765184</v>
      </c>
      <c r="AC16" s="11">
        <v>3.022943081987263E-2</v>
      </c>
      <c r="AD16" s="11">
        <v>5.4032702494616622E-3</v>
      </c>
      <c r="AE16" s="11">
        <v>0.33333333333333337</v>
      </c>
    </row>
    <row r="17" spans="2:31" x14ac:dyDescent="0.25">
      <c r="B17" s="7">
        <v>5</v>
      </c>
      <c r="C17" s="8" t="s">
        <v>11</v>
      </c>
      <c r="D17" s="7">
        <v>51.31</v>
      </c>
      <c r="E17" s="7">
        <v>6.4</v>
      </c>
      <c r="F17" s="7">
        <v>35.01</v>
      </c>
      <c r="G17" s="7">
        <v>2</v>
      </c>
      <c r="H17" s="7">
        <v>0.26</v>
      </c>
      <c r="I17" s="7">
        <v>0.2</v>
      </c>
      <c r="J17">
        <f>(0.3491*D17)+(1.1783*E17)+(0.1005*H17)-(0.0151*G17)-(0.1034*F17)-(0.211*F60)</f>
        <v>18.406917</v>
      </c>
      <c r="K17">
        <f t="shared" si="1"/>
        <v>19.194900000000001</v>
      </c>
      <c r="L17">
        <f t="shared" si="2"/>
        <v>4.2722731057452128</v>
      </c>
      <c r="M17">
        <f t="shared" si="3"/>
        <v>6.3492063492063497</v>
      </c>
      <c r="N17">
        <f t="shared" si="4"/>
        <v>2.1881249999999999</v>
      </c>
      <c r="O17">
        <f t="shared" si="5"/>
        <v>7.1377587437544618E-2</v>
      </c>
      <c r="P17">
        <f t="shared" si="6"/>
        <v>8.1085295493528772E-3</v>
      </c>
      <c r="R17" s="8" t="str">
        <f t="shared" si="0"/>
        <v>Pomace</v>
      </c>
      <c r="S17" s="9">
        <f>L17/$L$17</f>
        <v>1</v>
      </c>
      <c r="T17" s="9">
        <f t="shared" ref="T17:W17" si="11">M17/$L$17</f>
        <v>1.4861424333262181</v>
      </c>
      <c r="U17" s="9">
        <f t="shared" si="11"/>
        <v>0.51216880237770401</v>
      </c>
      <c r="V17" s="9">
        <f t="shared" si="11"/>
        <v>1.6707168683003523E-2</v>
      </c>
      <c r="W17" s="9">
        <f t="shared" si="11"/>
        <v>1.8979426990397201E-3</v>
      </c>
      <c r="X17" s="9">
        <f t="shared" si="8"/>
        <v>0.33333333333333337</v>
      </c>
      <c r="Y17" s="10"/>
      <c r="Z17" s="11">
        <v>1</v>
      </c>
      <c r="AA17" s="11">
        <v>1.4861424333262181</v>
      </c>
      <c r="AB17" s="11">
        <v>0.51216880237770401</v>
      </c>
      <c r="AC17" s="11">
        <v>1.6707168683003523E-2</v>
      </c>
      <c r="AD17" s="11">
        <v>1.8979426990397201E-3</v>
      </c>
      <c r="AE17" s="11">
        <v>0.33333333333333337</v>
      </c>
    </row>
    <row r="18" spans="2:31" x14ac:dyDescent="0.25">
      <c r="B18" s="7">
        <v>6</v>
      </c>
      <c r="C18" s="8" t="s">
        <v>12</v>
      </c>
      <c r="D18" s="7">
        <v>38.43</v>
      </c>
      <c r="E18" s="7">
        <v>2.97</v>
      </c>
      <c r="F18" s="7">
        <v>36.36</v>
      </c>
      <c r="G18" s="7">
        <v>0.49</v>
      </c>
      <c r="H18" s="7">
        <v>7.0000000000000007E-2</v>
      </c>
      <c r="I18" s="7">
        <v>0.2</v>
      </c>
      <c r="J18">
        <f>(0.3491*D18)+(1.1783*E18)+(0.1005*H18)-(0.0151*G18)-(0.1034*F18)-(0.211*G60)</f>
        <v>9.7330559999999977</v>
      </c>
      <c r="K18">
        <f t="shared" si="1"/>
        <v>6.9377799999999965</v>
      </c>
      <c r="L18">
        <f t="shared" si="2"/>
        <v>3.1998334721065778</v>
      </c>
      <c r="M18">
        <f t="shared" si="3"/>
        <v>2.9464285714285716</v>
      </c>
      <c r="N18">
        <f t="shared" si="4"/>
        <v>2.2725</v>
      </c>
      <c r="O18">
        <f t="shared" si="5"/>
        <v>1.7487508922198431E-2</v>
      </c>
      <c r="P18">
        <f t="shared" si="6"/>
        <v>2.1830656479026982E-3</v>
      </c>
      <c r="R18" s="8" t="str">
        <f t="shared" si="0"/>
        <v>Rice Husk</v>
      </c>
      <c r="S18" s="9">
        <f>L18/$L$18</f>
        <v>1</v>
      </c>
      <c r="T18" s="9">
        <f t="shared" ref="T18:W18" si="12">M18/$L$18</f>
        <v>0.92080684732909568</v>
      </c>
      <c r="U18" s="9">
        <f t="shared" si="12"/>
        <v>0.71019320843091338</v>
      </c>
      <c r="V18" s="9">
        <f t="shared" si="12"/>
        <v>5.4651309434192857E-3</v>
      </c>
      <c r="W18" s="9">
        <f t="shared" si="12"/>
        <v>6.8224351889959421E-4</v>
      </c>
      <c r="X18" s="9">
        <f t="shared" si="8"/>
        <v>0.33333333333333337</v>
      </c>
      <c r="Y18" s="9"/>
      <c r="Z18" s="11">
        <v>1</v>
      </c>
      <c r="AA18" s="11">
        <v>0.92080684732909568</v>
      </c>
      <c r="AB18" s="11">
        <v>0.71019320843091338</v>
      </c>
      <c r="AC18" s="11">
        <v>5.4651309434192857E-3</v>
      </c>
      <c r="AD18" s="11">
        <v>6.8224351889959421E-4</v>
      </c>
      <c r="AE18" s="11">
        <v>0.33333333333333337</v>
      </c>
    </row>
    <row r="19" spans="2:31" x14ac:dyDescent="0.25">
      <c r="B19" s="7">
        <v>7</v>
      </c>
      <c r="C19" s="8" t="s">
        <v>13</v>
      </c>
      <c r="D19" s="7">
        <v>45.69</v>
      </c>
      <c r="E19" s="7">
        <v>4.6500000000000004</v>
      </c>
      <c r="F19" s="7">
        <v>50.32</v>
      </c>
      <c r="G19" s="7">
        <v>0</v>
      </c>
      <c r="H19" s="7">
        <v>0</v>
      </c>
      <c r="I19" s="7">
        <v>0.2</v>
      </c>
      <c r="J19">
        <f>(0.3491*D19)+(1.1783*E19)+(0.1005*H19)-(0.0151*G19)-(0.1034*F19)-(0.211*H60)</f>
        <v>12.803965999999999</v>
      </c>
      <c r="K19">
        <f t="shared" si="1"/>
        <v>13.449679999999997</v>
      </c>
      <c r="L19">
        <f t="shared" si="2"/>
        <v>3.8043297252289756</v>
      </c>
      <c r="M19">
        <f t="shared" si="3"/>
        <v>4.6130952380952381</v>
      </c>
      <c r="N19">
        <f t="shared" si="4"/>
        <v>3.145</v>
      </c>
      <c r="O19">
        <f t="shared" si="5"/>
        <v>0</v>
      </c>
      <c r="P19">
        <f t="shared" si="6"/>
        <v>0</v>
      </c>
      <c r="R19" s="8" t="str">
        <f t="shared" si="0"/>
        <v>Wood Chips</v>
      </c>
      <c r="S19" s="9">
        <f>L19/$L$19</f>
        <v>1</v>
      </c>
      <c r="T19" s="9">
        <f t="shared" ref="T19:W19" si="13">M19/$L$19</f>
        <v>1.2125908034476649</v>
      </c>
      <c r="U19" s="9">
        <f t="shared" si="13"/>
        <v>0.82668964762530095</v>
      </c>
      <c r="V19" s="9">
        <f t="shared" si="13"/>
        <v>0</v>
      </c>
      <c r="W19" s="9">
        <f t="shared" si="13"/>
        <v>0</v>
      </c>
      <c r="X19" s="9">
        <f t="shared" si="8"/>
        <v>0.33333333333333337</v>
      </c>
      <c r="Z19" s="11">
        <v>1</v>
      </c>
      <c r="AA19" s="11">
        <v>1.2125908034476649</v>
      </c>
      <c r="AB19" s="11">
        <v>0.82668964762530095</v>
      </c>
      <c r="AC19" s="11">
        <v>0</v>
      </c>
      <c r="AD19" s="11">
        <v>0</v>
      </c>
      <c r="AE19" s="11">
        <v>0.33333333333333337</v>
      </c>
    </row>
    <row r="20" spans="2:31" x14ac:dyDescent="0.25">
      <c r="B20" s="7">
        <v>8</v>
      </c>
      <c r="C20" s="8" t="s">
        <v>14</v>
      </c>
      <c r="D20" s="7">
        <v>43.52</v>
      </c>
      <c r="E20" s="7">
        <v>7</v>
      </c>
      <c r="F20" s="7">
        <v>43.53</v>
      </c>
      <c r="G20" s="7">
        <v>0.23</v>
      </c>
      <c r="H20" s="7">
        <v>0.08</v>
      </c>
      <c r="I20" s="7">
        <v>0.2</v>
      </c>
      <c r="J20">
        <f>(0.3491*D20)+(1.1783*E20)+(0.1005*H20)-(0.0151*G20)-(0.1034*F20)-(0.211*I60)</f>
        <v>15.522077000000007</v>
      </c>
      <c r="K20">
        <f t="shared" si="1"/>
        <v>16.135409999999997</v>
      </c>
      <c r="L20">
        <f t="shared" si="2"/>
        <v>3.6236469608659454</v>
      </c>
      <c r="M20">
        <f t="shared" si="3"/>
        <v>6.9444444444444446</v>
      </c>
      <c r="N20">
        <f t="shared" si="4"/>
        <v>2.7206250000000001</v>
      </c>
      <c r="O20">
        <f t="shared" si="5"/>
        <v>8.2084225553176304E-3</v>
      </c>
      <c r="P20">
        <f t="shared" si="6"/>
        <v>2.4949321690316546E-3</v>
      </c>
      <c r="R20" s="8" t="str">
        <f t="shared" si="0"/>
        <v>Wood Pellet</v>
      </c>
      <c r="S20" s="9">
        <f>L20/$L$20</f>
        <v>1</v>
      </c>
      <c r="T20" s="9">
        <f t="shared" ref="T20:W20" si="14">M20/$L$20</f>
        <v>1.9164241217320259</v>
      </c>
      <c r="U20" s="9">
        <f t="shared" si="14"/>
        <v>0.75079747817095588</v>
      </c>
      <c r="V20" s="9">
        <f t="shared" si="14"/>
        <v>2.2652379340387116E-3</v>
      </c>
      <c r="W20" s="9">
        <f t="shared" si="14"/>
        <v>6.8851413947771528E-4</v>
      </c>
      <c r="X20" s="9">
        <f t="shared" ref="X20:X25" si="15">(24*I20*S20)/(18*(1-(I20*S20)))</f>
        <v>0.33333333333333337</v>
      </c>
      <c r="Z20" s="11">
        <v>1</v>
      </c>
      <c r="AA20" s="11">
        <v>1.9164241217320259</v>
      </c>
      <c r="AB20" s="11">
        <v>0.75079747817095588</v>
      </c>
      <c r="AC20" s="11">
        <v>2.2652379340387116E-3</v>
      </c>
      <c r="AD20" s="11">
        <v>6.8851413947771528E-4</v>
      </c>
      <c r="AE20" s="11">
        <v>0.33333333333333337</v>
      </c>
    </row>
    <row r="21" spans="2:31" x14ac:dyDescent="0.25">
      <c r="B21" s="7">
        <v>9</v>
      </c>
      <c r="C21" s="8" t="s">
        <v>71</v>
      </c>
      <c r="D21" s="7">
        <v>19.100000000000001</v>
      </c>
      <c r="E21" s="7">
        <v>2.2999999999999998</v>
      </c>
      <c r="F21" s="7">
        <v>5.7</v>
      </c>
      <c r="G21" s="7">
        <v>1.1000000000000001</v>
      </c>
      <c r="H21" s="7">
        <v>0.1</v>
      </c>
      <c r="I21" s="7">
        <v>0.08</v>
      </c>
      <c r="J21">
        <f>(0.3491*D21)+(1.1783*E21)+(0.1005*H21)-(0.0151*G21)-(0.1034*F21)-(0.211*J60)</f>
        <v>5.35954</v>
      </c>
      <c r="K21">
        <f t="shared" si="1"/>
        <v>-4.2139000000000006</v>
      </c>
      <c r="L21">
        <f t="shared" si="2"/>
        <v>1.5903413821815156</v>
      </c>
      <c r="M21">
        <f t="shared" si="3"/>
        <v>2.2817460317460316</v>
      </c>
      <c r="N21">
        <f t="shared" si="4"/>
        <v>0.35625000000000001</v>
      </c>
      <c r="O21">
        <f t="shared" si="5"/>
        <v>3.9257673090649536E-2</v>
      </c>
      <c r="P21">
        <f t="shared" si="6"/>
        <v>3.1186652112895684E-3</v>
      </c>
      <c r="R21" s="8" t="str">
        <f t="shared" si="0"/>
        <v>Dried Sewage Sludge</v>
      </c>
      <c r="S21" s="9">
        <f>L21/$L$21</f>
        <v>1</v>
      </c>
      <c r="T21" s="9">
        <f t="shared" ref="T21:W21" si="16">M21/$L$21</f>
        <v>1.4347523477104627</v>
      </c>
      <c r="U21" s="9">
        <f t="shared" si="16"/>
        <v>0.22400850785340312</v>
      </c>
      <c r="V21" s="9">
        <f t="shared" si="16"/>
        <v>2.4685060409356068E-2</v>
      </c>
      <c r="W21" s="9">
        <f t="shared" si="16"/>
        <v>1.9610036223867912E-3</v>
      </c>
      <c r="X21" s="9">
        <f t="shared" si="15"/>
        <v>0.11594202898550722</v>
      </c>
      <c r="Z21" s="11">
        <v>1</v>
      </c>
      <c r="AA21" s="11">
        <v>1.4347523477104627</v>
      </c>
      <c r="AB21" s="11">
        <v>0.22400850785340312</v>
      </c>
      <c r="AC21" s="11">
        <v>2.4685060409356068E-2</v>
      </c>
      <c r="AD21" s="11">
        <v>1.9610036223867912E-3</v>
      </c>
      <c r="AE21" s="11">
        <v>0.11594202898550722</v>
      </c>
    </row>
    <row r="22" spans="2:31" x14ac:dyDescent="0.25">
      <c r="B22" s="7">
        <v>10</v>
      </c>
      <c r="C22" s="8" t="s">
        <v>72</v>
      </c>
      <c r="D22" s="7">
        <v>37.1</v>
      </c>
      <c r="E22" s="7">
        <v>5.0999999999999996</v>
      </c>
      <c r="F22" s="7">
        <v>31.4</v>
      </c>
      <c r="G22" s="7">
        <v>3.7</v>
      </c>
      <c r="H22" s="7">
        <v>0.5</v>
      </c>
      <c r="I22" s="7">
        <v>0.27400000000000002</v>
      </c>
      <c r="J22">
        <f>(0.3491*D22)+(1.1783*E22)+(0.1005*H22)-(0.0151*G22)-(0.1034*F22)-(0.211*L60)</f>
        <v>12.28614</v>
      </c>
      <c r="K22">
        <f t="shared" si="1"/>
        <v>9.7038000000000011</v>
      </c>
      <c r="L22">
        <f t="shared" si="2"/>
        <v>3.0890924229808494</v>
      </c>
      <c r="M22">
        <f t="shared" si="3"/>
        <v>5.0595238095238093</v>
      </c>
      <c r="N22">
        <f t="shared" si="4"/>
        <v>1.9624999999999999</v>
      </c>
      <c r="O22">
        <f t="shared" si="5"/>
        <v>0.13204853675945755</v>
      </c>
      <c r="P22">
        <f t="shared" si="6"/>
        <v>1.5593326056447842E-2</v>
      </c>
      <c r="R22" s="8" t="str">
        <f t="shared" si="0"/>
        <v>Manure</v>
      </c>
      <c r="S22" s="9">
        <f>L22/$L$22</f>
        <v>1</v>
      </c>
      <c r="T22" s="9">
        <f t="shared" ref="T22:W22" si="17">M22/$L$22</f>
        <v>1.6378674111153895</v>
      </c>
      <c r="U22" s="9">
        <f t="shared" si="17"/>
        <v>0.63529986522911042</v>
      </c>
      <c r="V22" s="9">
        <f t="shared" si="17"/>
        <v>4.2746709608654586E-2</v>
      </c>
      <c r="W22" s="9">
        <f t="shared" si="17"/>
        <v>5.0478664673298812E-3</v>
      </c>
      <c r="X22" s="9">
        <f t="shared" si="15"/>
        <v>0.50321395775941236</v>
      </c>
      <c r="Z22" s="11">
        <v>1</v>
      </c>
      <c r="AA22" s="11">
        <v>1.6378674111153895</v>
      </c>
      <c r="AB22" s="11">
        <v>0.63529986522911042</v>
      </c>
      <c r="AC22" s="11">
        <v>4.2746709608654586E-2</v>
      </c>
      <c r="AD22" s="11">
        <v>5.0478664673298812E-3</v>
      </c>
      <c r="AE22" s="11">
        <v>0.50321395775941236</v>
      </c>
    </row>
    <row r="23" spans="2:31" x14ac:dyDescent="0.25">
      <c r="B23" s="7">
        <v>11</v>
      </c>
      <c r="C23" s="8" t="s">
        <v>73</v>
      </c>
      <c r="D23" s="7">
        <v>49.8</v>
      </c>
      <c r="E23" s="7">
        <v>6.8</v>
      </c>
      <c r="F23" s="7">
        <v>37.9</v>
      </c>
      <c r="G23" s="7">
        <v>4.5</v>
      </c>
      <c r="H23" s="7">
        <v>0</v>
      </c>
      <c r="I23" s="7">
        <v>0.05</v>
      </c>
      <c r="J23">
        <f>(0.3491*D23)+(1.1783*E23)+(0.1005*H23)-(0.0151*G23)-(0.1034*F23)-(0.211*M60)</f>
        <v>17.988389999999999</v>
      </c>
      <c r="K23">
        <f t="shared" si="1"/>
        <v>19.0641</v>
      </c>
      <c r="L23">
        <f t="shared" si="2"/>
        <v>4.1465445462114898</v>
      </c>
      <c r="M23">
        <f t="shared" si="3"/>
        <v>6.746031746031746</v>
      </c>
      <c r="N23">
        <f t="shared" si="4"/>
        <v>2.3687499999999999</v>
      </c>
      <c r="O23">
        <f t="shared" si="5"/>
        <v>0.16059957173447537</v>
      </c>
      <c r="P23">
        <f t="shared" si="6"/>
        <v>0</v>
      </c>
      <c r="R23" s="8" t="str">
        <f t="shared" si="0"/>
        <v>Date Pits Waste</v>
      </c>
      <c r="S23" s="9">
        <f>L23/$L$23</f>
        <v>1</v>
      </c>
      <c r="T23" s="9">
        <f t="shared" ref="T23:W23" si="18">M23/$L$23</f>
        <v>1.6269044431695037</v>
      </c>
      <c r="U23" s="9">
        <f t="shared" si="18"/>
        <v>0.57125878514056228</v>
      </c>
      <c r="V23" s="9">
        <f t="shared" si="18"/>
        <v>3.8730940894197777E-2</v>
      </c>
      <c r="W23" s="9">
        <f t="shared" si="18"/>
        <v>0</v>
      </c>
      <c r="X23" s="9">
        <f t="shared" si="15"/>
        <v>7.0175438596491252E-2</v>
      </c>
      <c r="Z23" s="11">
        <v>1</v>
      </c>
      <c r="AA23" s="11">
        <v>1.6269044431695037</v>
      </c>
      <c r="AB23" s="11">
        <v>0.57125878514056228</v>
      </c>
      <c r="AC23" s="11">
        <v>3.8730940894197777E-2</v>
      </c>
      <c r="AD23" s="11">
        <v>0</v>
      </c>
      <c r="AE23" s="11">
        <v>7.0175438596491252E-2</v>
      </c>
    </row>
    <row r="24" spans="2:31" x14ac:dyDescent="0.25">
      <c r="B24" s="7">
        <v>12</v>
      </c>
      <c r="C24" s="8" t="s">
        <v>74</v>
      </c>
      <c r="D24" s="7">
        <v>49.8</v>
      </c>
      <c r="E24" s="7">
        <v>6</v>
      </c>
      <c r="F24" s="7">
        <v>43.9</v>
      </c>
      <c r="G24" s="7">
        <v>0.2</v>
      </c>
      <c r="H24" s="7">
        <v>0.06</v>
      </c>
      <c r="I24" s="7">
        <v>0.05</v>
      </c>
      <c r="J24">
        <f>(0.3491*D24)+(1.1783*E24)+(0.1005*H24)-(0.0151*G24)-(0.1034*F24)-(0.211*N60)</f>
        <v>16.496309999999998</v>
      </c>
      <c r="K24">
        <f t="shared" si="1"/>
        <v>17.770099999999996</v>
      </c>
      <c r="L24">
        <f t="shared" si="2"/>
        <v>4.1465445462114898</v>
      </c>
      <c r="M24">
        <f t="shared" si="3"/>
        <v>5.9523809523809526</v>
      </c>
      <c r="N24">
        <f t="shared" si="4"/>
        <v>2.7437499999999999</v>
      </c>
      <c r="O24">
        <f t="shared" si="5"/>
        <v>7.1377587437544618E-3</v>
      </c>
      <c r="P24">
        <f t="shared" si="6"/>
        <v>1.8711991267737408E-3</v>
      </c>
      <c r="R24" s="8" t="str">
        <f t="shared" si="0"/>
        <v>Sugarcane Bagasse</v>
      </c>
      <c r="S24" s="9">
        <f>L24/$L$24</f>
        <v>1</v>
      </c>
      <c r="T24" s="9">
        <f t="shared" ref="T24:W24" si="19">M24/$L$24</f>
        <v>1.4355039204436797</v>
      </c>
      <c r="U24" s="9">
        <f t="shared" si="19"/>
        <v>0.66169553212851417</v>
      </c>
      <c r="V24" s="9">
        <f t="shared" si="19"/>
        <v>1.7213751508532349E-3</v>
      </c>
      <c r="W24" s="9">
        <f t="shared" si="19"/>
        <v>4.5126709864563516E-4</v>
      </c>
      <c r="X24" s="9">
        <f t="shared" si="15"/>
        <v>7.0175438596491252E-2</v>
      </c>
      <c r="Z24" s="11">
        <v>1</v>
      </c>
      <c r="AA24" s="11">
        <v>1.4355039204436797</v>
      </c>
      <c r="AB24" s="11">
        <v>0.66169553212851417</v>
      </c>
      <c r="AC24" s="11">
        <v>1.7213751508532349E-3</v>
      </c>
      <c r="AD24" s="11">
        <v>4.5126709864563516E-4</v>
      </c>
      <c r="AE24" s="11">
        <v>7.0175438596491252E-2</v>
      </c>
    </row>
    <row r="25" spans="2:31" x14ac:dyDescent="0.25">
      <c r="B25" s="7">
        <v>13</v>
      </c>
      <c r="C25" s="8" t="s">
        <v>75</v>
      </c>
      <c r="D25" s="7">
        <v>40</v>
      </c>
      <c r="E25" s="7">
        <v>5</v>
      </c>
      <c r="F25" s="7">
        <v>25</v>
      </c>
      <c r="G25" s="7">
        <v>1</v>
      </c>
      <c r="H25" s="7">
        <v>0.2</v>
      </c>
      <c r="I25" s="7">
        <v>0.05</v>
      </c>
      <c r="J25">
        <f>(0.3491*D25)+(1.1783*E25)+(0.1005*H25)-(0.0151*G25)-(0.1034*F25)-(0.211*O60)</f>
        <v>17.275499999999997</v>
      </c>
      <c r="K25">
        <f t="shared" si="1"/>
        <v>11.04</v>
      </c>
      <c r="L25">
        <f t="shared" si="2"/>
        <v>3.3305578684429644</v>
      </c>
      <c r="M25">
        <f t="shared" si="3"/>
        <v>4.9603174603174605</v>
      </c>
      <c r="N25">
        <f t="shared" si="4"/>
        <v>1.5625</v>
      </c>
      <c r="O25">
        <f t="shared" si="5"/>
        <v>3.5688793718772309E-2</v>
      </c>
      <c r="P25">
        <f t="shared" si="6"/>
        <v>6.2373304225791367E-3</v>
      </c>
      <c r="R25" s="8" t="str">
        <f t="shared" si="0"/>
        <v>MSW</v>
      </c>
      <c r="S25" s="9">
        <f>L25/$L$25</f>
        <v>1</v>
      </c>
      <c r="T25" s="9">
        <f t="shared" ref="T25:W25" si="20">M25/$L$25</f>
        <v>1.4893353174603174</v>
      </c>
      <c r="U25" s="9">
        <f t="shared" si="20"/>
        <v>0.46914062499999998</v>
      </c>
      <c r="V25" s="9">
        <f t="shared" si="20"/>
        <v>1.0715560314061385E-2</v>
      </c>
      <c r="W25" s="9">
        <f t="shared" si="20"/>
        <v>1.8727584593793856E-3</v>
      </c>
      <c r="X25" s="9">
        <f t="shared" si="15"/>
        <v>7.0175438596491252E-2</v>
      </c>
      <c r="Z25" s="11">
        <v>1</v>
      </c>
      <c r="AA25" s="11">
        <v>1.4893353174603174</v>
      </c>
      <c r="AB25" s="11">
        <v>0.46914062499999998</v>
      </c>
      <c r="AC25" s="11">
        <v>1.0715560314061385E-2</v>
      </c>
      <c r="AD25" s="11">
        <v>1.8727584593793856E-3</v>
      </c>
      <c r="AE25" s="11">
        <v>7.0175438596491252E-2</v>
      </c>
    </row>
    <row r="51" spans="1:15" s="12" customFormat="1" ht="30" x14ac:dyDescent="0.25">
      <c r="A51" s="14" t="s">
        <v>1</v>
      </c>
      <c r="B51" s="13" t="s">
        <v>7</v>
      </c>
      <c r="C51" s="13" t="s">
        <v>8</v>
      </c>
      <c r="D51" s="13" t="s">
        <v>9</v>
      </c>
      <c r="E51" s="13" t="s">
        <v>10</v>
      </c>
      <c r="F51" s="13" t="s">
        <v>11</v>
      </c>
      <c r="G51" s="13" t="s">
        <v>12</v>
      </c>
      <c r="H51" s="13" t="s">
        <v>13</v>
      </c>
      <c r="I51" s="13" t="s">
        <v>14</v>
      </c>
      <c r="J51" s="13" t="s">
        <v>71</v>
      </c>
      <c r="K51" s="13" t="s">
        <v>72</v>
      </c>
      <c r="L51" s="13" t="s">
        <v>73</v>
      </c>
      <c r="M51" s="13" t="s">
        <v>74</v>
      </c>
      <c r="N51" s="13" t="s">
        <v>75</v>
      </c>
      <c r="O51" s="13"/>
    </row>
    <row r="52" spans="1:15" x14ac:dyDescent="0.25">
      <c r="A52" s="1" t="s">
        <v>2</v>
      </c>
      <c r="B52" s="15">
        <v>1</v>
      </c>
      <c r="C52" s="15">
        <v>1</v>
      </c>
      <c r="D52" s="15">
        <v>1</v>
      </c>
      <c r="E52" s="15">
        <v>1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1</v>
      </c>
      <c r="L52" s="15">
        <v>1</v>
      </c>
      <c r="M52" s="15">
        <v>1</v>
      </c>
      <c r="N52" s="15">
        <v>1</v>
      </c>
      <c r="O52" s="15"/>
    </row>
    <row r="53" spans="1:15" x14ac:dyDescent="0.25">
      <c r="A53" s="1" t="s">
        <v>3</v>
      </c>
      <c r="B53" s="15">
        <v>1.6535140138732656</v>
      </c>
      <c r="C53" s="15">
        <v>1.9707262643168915</v>
      </c>
      <c r="D53" s="15">
        <v>1.8818365231087126</v>
      </c>
      <c r="E53" s="15">
        <v>1.6567400686314733</v>
      </c>
      <c r="F53" s="15">
        <v>1.4861424333262181</v>
      </c>
      <c r="G53" s="15">
        <v>0.92080684732909568</v>
      </c>
      <c r="H53" s="15">
        <v>1.2125908034476649</v>
      </c>
      <c r="I53" s="15">
        <v>1.9164241217320259</v>
      </c>
      <c r="J53" s="15">
        <v>1.4347523477104627</v>
      </c>
      <c r="K53" s="15">
        <v>1.6378674111153895</v>
      </c>
      <c r="L53" s="15">
        <v>1.6269044431695037</v>
      </c>
      <c r="M53" s="15">
        <v>1.4355039204436797</v>
      </c>
      <c r="N53" s="15">
        <v>1.4893353174603174</v>
      </c>
      <c r="O53" s="15"/>
    </row>
    <row r="54" spans="1:15" x14ac:dyDescent="0.25">
      <c r="A54" s="1" t="s">
        <v>4</v>
      </c>
      <c r="B54" s="15">
        <v>0.81434685654527561</v>
      </c>
      <c r="C54" s="15">
        <v>0.81201312313347118</v>
      </c>
      <c r="D54" s="15">
        <v>0.76668297678652719</v>
      </c>
      <c r="E54" s="15">
        <v>0.57451162091765184</v>
      </c>
      <c r="F54" s="15">
        <v>0.51216880237770401</v>
      </c>
      <c r="G54" s="15">
        <v>0.71019320843091338</v>
      </c>
      <c r="H54" s="15">
        <v>0.82668964762530095</v>
      </c>
      <c r="I54" s="15">
        <v>0.75079747817095588</v>
      </c>
      <c r="J54" s="15">
        <v>0.22400850785340312</v>
      </c>
      <c r="K54" s="15">
        <v>0.63529986522911042</v>
      </c>
      <c r="L54" s="15">
        <v>0.57125878514056228</v>
      </c>
      <c r="M54" s="15">
        <v>0.66169553212851417</v>
      </c>
      <c r="N54" s="15">
        <v>0.46914062499999998</v>
      </c>
      <c r="O54" s="15"/>
    </row>
    <row r="55" spans="1:15" x14ac:dyDescent="0.25">
      <c r="A55" s="1" t="s">
        <v>5</v>
      </c>
      <c r="B55" s="15">
        <v>5.4843418930235434E-3</v>
      </c>
      <c r="C55" s="15">
        <v>1.7034614604480768E-2</v>
      </c>
      <c r="D55" s="15">
        <v>3.4336615662718319E-2</v>
      </c>
      <c r="E55" s="15">
        <v>3.022943081987263E-2</v>
      </c>
      <c r="F55" s="15">
        <v>1.6707168683003523E-2</v>
      </c>
      <c r="G55" s="15">
        <v>5.4651309434192857E-3</v>
      </c>
      <c r="H55" s="15">
        <v>0</v>
      </c>
      <c r="I55" s="15">
        <v>2.2652379340387116E-3</v>
      </c>
      <c r="J55" s="15">
        <v>2.4685060409356068E-2</v>
      </c>
      <c r="K55" s="15">
        <v>4.2746709608654586E-2</v>
      </c>
      <c r="L55" s="15">
        <v>3.8730940894197777E-2</v>
      </c>
      <c r="M55" s="15">
        <v>1.7213751508532349E-3</v>
      </c>
      <c r="N55" s="15">
        <v>1.0715560314061385E-2</v>
      </c>
      <c r="O55" s="15"/>
    </row>
    <row r="56" spans="1:15" x14ac:dyDescent="0.25">
      <c r="A56" s="1" t="s">
        <v>6</v>
      </c>
      <c r="B56" s="15">
        <v>2.7648993002648409E-4</v>
      </c>
      <c r="C56" s="15">
        <v>3.9580468243258322E-3</v>
      </c>
      <c r="D56" s="15">
        <v>6.1373968627817833E-3</v>
      </c>
      <c r="E56" s="15">
        <v>5.4032702494616622E-3</v>
      </c>
      <c r="F56" s="15">
        <v>1.8979426990397201E-3</v>
      </c>
      <c r="G56" s="15">
        <v>6.8224351889959421E-4</v>
      </c>
      <c r="H56" s="15">
        <v>0</v>
      </c>
      <c r="I56" s="15">
        <v>6.8851413947771528E-4</v>
      </c>
      <c r="J56" s="15">
        <v>1.9610036223867912E-3</v>
      </c>
      <c r="K56" s="15">
        <v>5.0478664673298812E-3</v>
      </c>
      <c r="L56" s="15">
        <v>0</v>
      </c>
      <c r="M56" s="15">
        <v>4.5126709864563516E-4</v>
      </c>
      <c r="N56" s="15">
        <v>1.8727584593793856E-3</v>
      </c>
      <c r="O56" s="15"/>
    </row>
    <row r="57" spans="1:15" x14ac:dyDescent="0.25">
      <c r="A57" s="1" t="s">
        <v>88</v>
      </c>
      <c r="B57" s="1">
        <v>9.6000000000000002E-2</v>
      </c>
      <c r="C57" s="1">
        <v>0.2</v>
      </c>
      <c r="D57" s="1">
        <v>0.2</v>
      </c>
      <c r="E57" s="1">
        <v>0.2</v>
      </c>
      <c r="F57" s="1">
        <v>0.2</v>
      </c>
      <c r="G57" s="1">
        <v>0.2</v>
      </c>
      <c r="H57" s="1">
        <v>0.2</v>
      </c>
      <c r="I57" s="1">
        <v>0.2</v>
      </c>
      <c r="J57" s="1">
        <v>0.08</v>
      </c>
      <c r="K57" s="1">
        <v>0.27400000000000002</v>
      </c>
      <c r="L57" s="1">
        <v>0.05</v>
      </c>
      <c r="M57" s="1">
        <v>0.05</v>
      </c>
      <c r="N57" s="1">
        <v>0.05</v>
      </c>
      <c r="O57" s="1"/>
    </row>
    <row r="58" spans="1:15" x14ac:dyDescent="0.25">
      <c r="A58" s="1" t="s">
        <v>101</v>
      </c>
      <c r="B58" s="1">
        <v>68.48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 t="s">
        <v>102</v>
      </c>
      <c r="B59" s="1">
        <v>5.7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 t="s">
        <v>21</v>
      </c>
      <c r="B60" s="1">
        <v>16.22</v>
      </c>
      <c r="C60" s="1">
        <v>16.22</v>
      </c>
      <c r="D60" s="1">
        <v>16.22</v>
      </c>
      <c r="E60" s="1">
        <v>16.22</v>
      </c>
      <c r="F60" s="1">
        <v>16.22</v>
      </c>
      <c r="G60" s="1">
        <v>16.22</v>
      </c>
      <c r="H60" s="1">
        <v>16.22</v>
      </c>
      <c r="I60" s="1">
        <v>16.22</v>
      </c>
      <c r="J60" s="1">
        <v>16.22</v>
      </c>
      <c r="K60" s="1">
        <v>16.22</v>
      </c>
      <c r="L60" s="1">
        <v>16.22</v>
      </c>
      <c r="M60" s="1">
        <v>16.22</v>
      </c>
      <c r="N60" s="1">
        <v>16.22</v>
      </c>
      <c r="O60" s="1"/>
    </row>
    <row r="61" spans="1:15" x14ac:dyDescent="0.25">
      <c r="A61" s="1" t="s">
        <v>103</v>
      </c>
      <c r="B61" s="1">
        <v>12.846873000000002</v>
      </c>
      <c r="C61" s="1">
        <v>15.408664000000005</v>
      </c>
      <c r="D61" s="1">
        <v>15.473051999999996</v>
      </c>
      <c r="E61" s="1">
        <v>18.247890999999999</v>
      </c>
      <c r="F61" s="1">
        <v>18.406917</v>
      </c>
      <c r="G61" s="1">
        <v>9.7330559999999977</v>
      </c>
      <c r="H61" s="1">
        <v>12.803965999999999</v>
      </c>
      <c r="I61" s="1">
        <v>15.522077000000007</v>
      </c>
      <c r="J61" s="1">
        <v>5.35954</v>
      </c>
      <c r="K61" s="1">
        <v>17.988389999999999</v>
      </c>
      <c r="L61" s="1">
        <v>16.496309999999998</v>
      </c>
      <c r="M61" s="1">
        <v>13.853079999999999</v>
      </c>
      <c r="N61" s="1">
        <v>13.853079999999999</v>
      </c>
      <c r="O61" s="1"/>
    </row>
    <row r="62" spans="1:15" x14ac:dyDescent="0.25">
      <c r="A62" s="1" t="s">
        <v>104</v>
      </c>
      <c r="B62" s="1">
        <f>(B61*(1-B57))-(2.44*B57)</f>
        <v>11.379333192000002</v>
      </c>
      <c r="C62" s="1">
        <f t="shared" ref="C62:J62" si="21">(C61*(1-C57))-(2.44*C57)</f>
        <v>11.838931200000005</v>
      </c>
      <c r="D62" s="1">
        <f t="shared" si="21"/>
        <v>11.890441599999997</v>
      </c>
      <c r="E62" s="1">
        <f t="shared" si="21"/>
        <v>14.110312800000001</v>
      </c>
      <c r="F62" s="1">
        <f t="shared" si="21"/>
        <v>14.237533600000001</v>
      </c>
      <c r="G62" s="1">
        <f t="shared" si="21"/>
        <v>7.2984447999999986</v>
      </c>
      <c r="H62" s="1">
        <f t="shared" si="21"/>
        <v>9.7551728000000004</v>
      </c>
      <c r="I62" s="1">
        <f t="shared" si="21"/>
        <v>11.929661600000006</v>
      </c>
      <c r="J62" s="1">
        <f t="shared" si="21"/>
        <v>4.7355768000000005</v>
      </c>
      <c r="K62" s="1">
        <f t="shared" ref="K62:N62" si="22">(K61*(1-K57))-(2.44*K57)</f>
        <v>12.39101114</v>
      </c>
      <c r="L62" s="1">
        <f t="shared" si="22"/>
        <v>15.549494499999996</v>
      </c>
      <c r="M62" s="1">
        <f t="shared" si="22"/>
        <v>13.038425999999998</v>
      </c>
      <c r="N62" s="1">
        <f t="shared" si="22"/>
        <v>13.038425999999998</v>
      </c>
      <c r="O62" s="1"/>
    </row>
    <row r="63" spans="1:15" x14ac:dyDescent="0.25">
      <c r="A63" s="1" t="s">
        <v>68</v>
      </c>
      <c r="B63" s="15">
        <f>(24*B57*B52)/(18*(1-B57*B52))</f>
        <v>0.1415929203539823</v>
      </c>
      <c r="C63" s="15">
        <f>(24*C57*C52)/(18*(1-C57*C52))</f>
        <v>0.33333333333333337</v>
      </c>
      <c r="D63" s="15">
        <f t="shared" ref="D63:J63" si="23">(24*D57*D52)/(18*(1-D57*D52))</f>
        <v>0.33333333333333337</v>
      </c>
      <c r="E63" s="15">
        <f t="shared" si="23"/>
        <v>0.33333333333333337</v>
      </c>
      <c r="F63" s="15">
        <f t="shared" si="23"/>
        <v>0.33333333333333337</v>
      </c>
      <c r="G63" s="15">
        <f t="shared" si="23"/>
        <v>0.33333333333333337</v>
      </c>
      <c r="H63" s="15">
        <f t="shared" si="23"/>
        <v>0.33333333333333337</v>
      </c>
      <c r="I63" s="15">
        <f t="shared" si="23"/>
        <v>0.33333333333333337</v>
      </c>
      <c r="J63" s="15">
        <f t="shared" si="23"/>
        <v>0.11594202898550722</v>
      </c>
      <c r="K63" s="15">
        <f t="shared" ref="K63:N63" si="24">(24*K57*K52)/(18*(1-K57*K52))</f>
        <v>0.50321395775941236</v>
      </c>
      <c r="L63" s="15">
        <f t="shared" si="24"/>
        <v>7.0175438596491252E-2</v>
      </c>
      <c r="M63" s="15">
        <f t="shared" si="24"/>
        <v>7.0175438596491252E-2</v>
      </c>
      <c r="N63" s="15">
        <f t="shared" si="24"/>
        <v>7.0175438596491252E-2</v>
      </c>
      <c r="O63" s="15"/>
    </row>
    <row r="64" spans="1:15" x14ac:dyDescent="0.25">
      <c r="A64" s="1" t="s">
        <v>85</v>
      </c>
      <c r="B64" s="15">
        <v>44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" t="s">
        <v>86</v>
      </c>
      <c r="B65" s="15">
        <v>30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5">
      <c r="A66" s="1" t="s">
        <v>87</v>
      </c>
      <c r="B66" s="15">
        <v>26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1" t="s">
        <v>108</v>
      </c>
      <c r="B67" s="15">
        <f>(B57*OPERATING_CONDITIONS!I5)+(((B64*0.01*OPERATING_CONDITIONS!I2)+(B65*0.01*OPERATING_CONDITIONS!I3)+(B66*0.01*OPERATING_CONDITIONS!I4))*(1-B57))</f>
        <v>1.6596480000000002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5">
      <c r="A68" s="1" t="s">
        <v>76</v>
      </c>
      <c r="B68" s="18">
        <v>10</v>
      </c>
      <c r="C68" s="18">
        <v>3.4</v>
      </c>
      <c r="D68" s="18">
        <v>3.4</v>
      </c>
      <c r="E68" s="18">
        <v>3.4</v>
      </c>
      <c r="F68" s="18">
        <v>3.4</v>
      </c>
      <c r="G68" s="18">
        <v>3.4</v>
      </c>
      <c r="H68" s="18">
        <v>3.4</v>
      </c>
      <c r="I68" s="18">
        <v>3.4</v>
      </c>
      <c r="J68" s="18">
        <v>3.4</v>
      </c>
      <c r="K68" s="18">
        <v>3.4</v>
      </c>
      <c r="L68" s="18">
        <v>3.4</v>
      </c>
      <c r="M68" s="18">
        <v>3.4</v>
      </c>
      <c r="N68" s="18">
        <v>3.4</v>
      </c>
      <c r="O68" s="16"/>
    </row>
  </sheetData>
  <mergeCells count="3">
    <mergeCell ref="L11:P11"/>
    <mergeCell ref="D11:H11"/>
    <mergeCell ref="S11:W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ED95-51F1-482B-921A-3500E129A44E}">
  <dimension ref="C1:I12"/>
  <sheetViews>
    <sheetView tabSelected="1" workbookViewId="0">
      <selection activeCell="H19" sqref="H19"/>
    </sheetView>
  </sheetViews>
  <sheetFormatPr defaultRowHeight="15" x14ac:dyDescent="0.25"/>
  <cols>
    <col min="3" max="3" width="28.140625" customWidth="1"/>
    <col min="4" max="4" width="18.85546875" customWidth="1"/>
    <col min="8" max="8" width="61.42578125" customWidth="1"/>
  </cols>
  <sheetData>
    <row r="1" spans="3:9" x14ac:dyDescent="0.25">
      <c r="C1" s="4" t="s">
        <v>15</v>
      </c>
      <c r="D1" s="4" t="s">
        <v>16</v>
      </c>
      <c r="H1" s="17" t="s">
        <v>89</v>
      </c>
      <c r="I1" s="17" t="s">
        <v>90</v>
      </c>
    </row>
    <row r="2" spans="3:9" x14ac:dyDescent="0.25">
      <c r="C2" s="1" t="s">
        <v>82</v>
      </c>
      <c r="D2" s="5">
        <v>25</v>
      </c>
      <c r="H2" s="1" t="s">
        <v>91</v>
      </c>
      <c r="I2" s="5">
        <v>1.5</v>
      </c>
    </row>
    <row r="3" spans="3:9" x14ac:dyDescent="0.25">
      <c r="C3" s="1" t="s">
        <v>95</v>
      </c>
      <c r="D3" s="5" t="s">
        <v>78</v>
      </c>
      <c r="H3" s="1" t="s">
        <v>92</v>
      </c>
      <c r="I3" s="5">
        <v>1.4</v>
      </c>
    </row>
    <row r="4" spans="3:9" x14ac:dyDescent="0.25">
      <c r="C4" s="1" t="s">
        <v>84</v>
      </c>
      <c r="D4" s="5">
        <v>100</v>
      </c>
      <c r="H4" s="1" t="s">
        <v>93</v>
      </c>
      <c r="I4" s="5">
        <v>1.2</v>
      </c>
    </row>
    <row r="5" spans="3:9" x14ac:dyDescent="0.25">
      <c r="C5" s="1" t="s">
        <v>77</v>
      </c>
      <c r="D5" s="5" t="s">
        <v>78</v>
      </c>
      <c r="H5" s="1" t="s">
        <v>94</v>
      </c>
      <c r="I5" s="5">
        <v>4.18</v>
      </c>
    </row>
    <row r="6" spans="3:9" x14ac:dyDescent="0.25">
      <c r="C6" s="1" t="s">
        <v>83</v>
      </c>
      <c r="D6" s="5">
        <v>850</v>
      </c>
      <c r="H6" s="1" t="s">
        <v>96</v>
      </c>
      <c r="I6" s="5">
        <v>1.0049999999999999</v>
      </c>
    </row>
    <row r="7" spans="3:9" x14ac:dyDescent="0.25">
      <c r="C7" s="1" t="s">
        <v>81</v>
      </c>
      <c r="D7" s="5">
        <v>1</v>
      </c>
      <c r="E7" t="s">
        <v>106</v>
      </c>
      <c r="H7" s="1" t="s">
        <v>97</v>
      </c>
      <c r="I7" s="5">
        <v>1.85</v>
      </c>
    </row>
    <row r="8" spans="3:9" x14ac:dyDescent="0.25">
      <c r="C8" s="1" t="s">
        <v>99</v>
      </c>
      <c r="D8" s="5">
        <v>0.5</v>
      </c>
      <c r="E8" t="s">
        <v>100</v>
      </c>
      <c r="H8" s="1" t="s">
        <v>98</v>
      </c>
      <c r="I8" s="5">
        <v>2260</v>
      </c>
    </row>
    <row r="9" spans="3:9" x14ac:dyDescent="0.25">
      <c r="C9" s="1" t="s">
        <v>17</v>
      </c>
      <c r="D9" s="5" t="s">
        <v>107</v>
      </c>
      <c r="H9" s="1"/>
      <c r="I9" s="1"/>
    </row>
    <row r="10" spans="3:9" x14ac:dyDescent="0.25">
      <c r="C10" s="1" t="s">
        <v>70</v>
      </c>
      <c r="D10" s="5" t="s">
        <v>7</v>
      </c>
    </row>
    <row r="11" spans="3:9" x14ac:dyDescent="0.25">
      <c r="C11" s="1" t="s">
        <v>109</v>
      </c>
      <c r="D11" s="5">
        <f>MAX(FEED!A1:L24)</f>
        <v>2.5</v>
      </c>
      <c r="E11" t="s">
        <v>110</v>
      </c>
    </row>
    <row r="12" spans="3:9" x14ac:dyDescent="0.25">
      <c r="C12" s="1" t="s">
        <v>111</v>
      </c>
      <c r="D12" s="5">
        <f>MAX(DEMAND!A1:M24)</f>
        <v>320</v>
      </c>
      <c r="E12" t="s">
        <v>110</v>
      </c>
    </row>
  </sheetData>
  <dataValidations count="2">
    <dataValidation type="list" allowBlank="1" showInputMessage="1" showErrorMessage="1" sqref="D9" xr:uid="{D58C2897-DBF1-4984-B9E2-F81779B960F5}">
      <formula1>"Air, Steam"</formula1>
    </dataValidation>
    <dataValidation type="list" allowBlank="1" showInputMessage="1" showErrorMessage="1" sqref="D5 D3" xr:uid="{745F546D-B61C-488F-8E24-5C56081E35E3}">
      <formula1>"Yes,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856600-2F3F-46E9-B261-6867434AC0B7}">
          <x14:formula1>
            <xm:f>BIOMASS_DATABASE!$B$51:$O$51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7E2D-A955-4502-B3BD-90C468AE4530}">
  <dimension ref="C4:P13"/>
  <sheetViews>
    <sheetView workbookViewId="0">
      <selection activeCell="K4" sqref="K4"/>
    </sheetView>
  </sheetViews>
  <sheetFormatPr defaultRowHeight="15" x14ac:dyDescent="0.25"/>
  <cols>
    <col min="3" max="3" width="16.140625" customWidth="1"/>
    <col min="9" max="9" width="11.42578125" bestFit="1" customWidth="1"/>
    <col min="13" max="13" width="10.85546875" bestFit="1" customWidth="1"/>
    <col min="14" max="14" width="10.85546875" customWidth="1"/>
  </cols>
  <sheetData>
    <row r="4" spans="3:16" x14ac:dyDescent="0.25">
      <c r="C4" s="20" t="s">
        <v>35</v>
      </c>
      <c r="D4" s="20"/>
      <c r="E4" s="20"/>
      <c r="F4" s="20"/>
      <c r="G4" s="20"/>
      <c r="H4" s="20"/>
      <c r="I4" s="20"/>
    </row>
    <row r="5" spans="3:16" x14ac:dyDescent="0.25">
      <c r="C5" s="4" t="s">
        <v>18</v>
      </c>
      <c r="D5" s="4" t="s">
        <v>19</v>
      </c>
      <c r="E5" s="4" t="s">
        <v>20</v>
      </c>
      <c r="F5" s="4" t="s">
        <v>21</v>
      </c>
      <c r="G5" s="4" t="s">
        <v>48</v>
      </c>
      <c r="H5" s="4" t="s">
        <v>49</v>
      </c>
      <c r="I5" s="4" t="s">
        <v>50</v>
      </c>
    </row>
    <row r="6" spans="3:16" x14ac:dyDescent="0.25">
      <c r="C6" s="6" t="s">
        <v>22</v>
      </c>
      <c r="D6" s="6" t="s">
        <v>28</v>
      </c>
      <c r="E6">
        <v>1500</v>
      </c>
      <c r="F6" s="3">
        <v>1.702</v>
      </c>
      <c r="G6" s="3">
        <v>9.0809999999999995</v>
      </c>
      <c r="H6" s="3">
        <v>-2.1640000000000001</v>
      </c>
      <c r="I6" s="3">
        <v>0</v>
      </c>
    </row>
    <row r="7" spans="3:16" x14ac:dyDescent="0.25">
      <c r="C7" s="6" t="s">
        <v>23</v>
      </c>
      <c r="D7" s="6" t="s">
        <v>29</v>
      </c>
      <c r="E7">
        <v>3000</v>
      </c>
      <c r="F7" s="3">
        <v>3.2490000000000001</v>
      </c>
      <c r="G7" s="3">
        <v>0.42199999999999999</v>
      </c>
      <c r="H7" s="3">
        <v>0</v>
      </c>
      <c r="I7" s="3">
        <v>8.3000000000000004E-2</v>
      </c>
      <c r="M7" s="19" t="s">
        <v>61</v>
      </c>
      <c r="N7" s="19"/>
      <c r="O7" s="19" t="s">
        <v>62</v>
      </c>
      <c r="P7" s="19"/>
    </row>
    <row r="8" spans="3:16" x14ac:dyDescent="0.25">
      <c r="C8" s="6" t="s">
        <v>24</v>
      </c>
      <c r="D8" s="6" t="s">
        <v>30</v>
      </c>
      <c r="E8">
        <v>2500</v>
      </c>
      <c r="F8" s="3">
        <v>3.3759999999999999</v>
      </c>
      <c r="G8" s="3">
        <v>0.55700000000000005</v>
      </c>
      <c r="H8" s="3">
        <v>0</v>
      </c>
      <c r="I8" s="3">
        <v>-3.1E-2</v>
      </c>
      <c r="L8" s="8" t="s">
        <v>44</v>
      </c>
      <c r="M8" s="6">
        <f>F6-F12-(2*F7)</f>
        <v>-6.5670000000000002</v>
      </c>
      <c r="N8" s="6">
        <f>M8</f>
        <v>-6.5670000000000002</v>
      </c>
      <c r="O8" s="6">
        <f>F9+F7-F8-F11</f>
        <v>1.8599999999999999</v>
      </c>
      <c r="P8" s="6">
        <f>O8</f>
        <v>1.8599999999999999</v>
      </c>
    </row>
    <row r="9" spans="3:16" x14ac:dyDescent="0.25">
      <c r="C9" s="6" t="s">
        <v>25</v>
      </c>
      <c r="D9" s="6" t="s">
        <v>31</v>
      </c>
      <c r="E9">
        <v>2000</v>
      </c>
      <c r="F9" s="3">
        <v>5.4569999999999999</v>
      </c>
      <c r="G9" s="3">
        <v>1.0469999999999999</v>
      </c>
      <c r="H9" s="3">
        <v>0</v>
      </c>
      <c r="I9" s="3">
        <v>-1.157</v>
      </c>
      <c r="L9" s="8" t="s">
        <v>45</v>
      </c>
      <c r="M9" s="6">
        <f>G6-G12-(2*G7)</f>
        <v>7.4659999999999984</v>
      </c>
      <c r="N9" s="6">
        <f>M9*0.001</f>
        <v>7.4659999999999987E-3</v>
      </c>
      <c r="O9" s="6">
        <f>G9+G7-G8-G11</f>
        <v>-0.53800000000000014</v>
      </c>
      <c r="P9" s="6">
        <f>O9*0.001</f>
        <v>-5.3800000000000018E-4</v>
      </c>
    </row>
    <row r="10" spans="3:16" x14ac:dyDescent="0.25">
      <c r="C10" s="6" t="s">
        <v>26</v>
      </c>
      <c r="D10" s="6" t="s">
        <v>32</v>
      </c>
      <c r="E10">
        <v>2000</v>
      </c>
      <c r="F10" s="3">
        <v>3.28</v>
      </c>
      <c r="G10" s="3">
        <v>0.59299999999999997</v>
      </c>
      <c r="H10" s="3">
        <v>0</v>
      </c>
      <c r="I10" s="3">
        <v>0.04</v>
      </c>
      <c r="L10" s="8" t="s">
        <v>46</v>
      </c>
      <c r="M10" s="6">
        <f>H6-H12-(2*H7)</f>
        <v>-2.1640000000000001</v>
      </c>
      <c r="N10" s="6">
        <f>M10*0.000001</f>
        <v>-2.1639999999999999E-6</v>
      </c>
      <c r="O10" s="6">
        <f>H9+H7-H8-H11</f>
        <v>0</v>
      </c>
      <c r="P10" s="6">
        <f>O10*0.000001</f>
        <v>0</v>
      </c>
    </row>
    <row r="11" spans="3:16" x14ac:dyDescent="0.25">
      <c r="C11" s="6" t="s">
        <v>27</v>
      </c>
      <c r="D11" s="6" t="s">
        <v>33</v>
      </c>
      <c r="E11">
        <v>2000</v>
      </c>
      <c r="F11" s="3">
        <v>3.47</v>
      </c>
      <c r="G11" s="3">
        <v>1.45</v>
      </c>
      <c r="H11" s="3">
        <v>0</v>
      </c>
      <c r="I11" s="3">
        <v>0.121</v>
      </c>
      <c r="L11" s="8" t="s">
        <v>47</v>
      </c>
      <c r="M11" s="6">
        <f>I6-I12-(2*I7)</f>
        <v>0.70099999999999996</v>
      </c>
      <c r="N11" s="6">
        <f>M11*100000</f>
        <v>70100</v>
      </c>
      <c r="O11" s="6">
        <f>I9+I7-I8-I11</f>
        <v>-1.1640000000000001</v>
      </c>
      <c r="P11" s="6">
        <f>O11*100000</f>
        <v>-116400.00000000001</v>
      </c>
    </row>
    <row r="12" spans="3:16" x14ac:dyDescent="0.25">
      <c r="C12" s="6" t="s">
        <v>34</v>
      </c>
      <c r="D12" s="6" t="s">
        <v>2</v>
      </c>
      <c r="E12">
        <v>2000</v>
      </c>
      <c r="F12" s="3">
        <v>1.7709999999999999</v>
      </c>
      <c r="G12" s="3">
        <v>0.77100000000000002</v>
      </c>
      <c r="H12" s="3">
        <v>0</v>
      </c>
      <c r="I12" s="3">
        <v>-0.86699999999999999</v>
      </c>
    </row>
    <row r="13" spans="3:16" x14ac:dyDescent="0.25">
      <c r="C13" s="6" t="s">
        <v>63</v>
      </c>
      <c r="D13" s="6" t="s">
        <v>33</v>
      </c>
      <c r="F13" s="3">
        <v>8.7119999999999997</v>
      </c>
      <c r="G13" s="3">
        <v>1.25</v>
      </c>
      <c r="H13" s="3">
        <v>-0.18</v>
      </c>
      <c r="I13" s="3">
        <v>0</v>
      </c>
    </row>
  </sheetData>
  <mergeCells count="3">
    <mergeCell ref="C4:I4"/>
    <mergeCell ref="O7:P7"/>
    <mergeCell ref="M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2901-CAD3-470A-8D52-162815BE1CCA}">
  <dimension ref="C4:T19"/>
  <sheetViews>
    <sheetView topLeftCell="A4" workbookViewId="0">
      <selection activeCell="L18" sqref="L18"/>
    </sheetView>
  </sheetViews>
  <sheetFormatPr defaultRowHeight="15" x14ac:dyDescent="0.25"/>
  <cols>
    <col min="3" max="3" width="26.42578125" customWidth="1"/>
    <col min="4" max="4" width="13" customWidth="1"/>
    <col min="5" max="5" width="12.28515625" customWidth="1"/>
    <col min="6" max="6" width="10.140625" customWidth="1"/>
    <col min="7" max="7" width="11.85546875" customWidth="1"/>
    <col min="10" max="10" width="27.85546875" customWidth="1"/>
    <col min="11" max="11" width="9.42578125" bestFit="1" customWidth="1"/>
    <col min="12" max="12" width="30.7109375" customWidth="1"/>
    <col min="15" max="15" width="12.42578125" bestFit="1" customWidth="1"/>
  </cols>
  <sheetData>
    <row r="4" spans="3:20" x14ac:dyDescent="0.25">
      <c r="C4" s="20" t="s">
        <v>36</v>
      </c>
      <c r="D4" s="20"/>
      <c r="E4" s="20"/>
      <c r="F4" s="20"/>
      <c r="G4" s="20"/>
    </row>
    <row r="5" spans="3:20" x14ac:dyDescent="0.25">
      <c r="C5" s="4" t="s">
        <v>18</v>
      </c>
      <c r="D5" s="4" t="s">
        <v>19</v>
      </c>
      <c r="E5" s="4" t="s">
        <v>37</v>
      </c>
      <c r="F5" s="4" t="s">
        <v>38</v>
      </c>
      <c r="G5" s="4" t="s">
        <v>39</v>
      </c>
    </row>
    <row r="6" spans="3:20" x14ac:dyDescent="0.25">
      <c r="C6" s="6" t="s">
        <v>27</v>
      </c>
      <c r="D6" s="6" t="s">
        <v>33</v>
      </c>
      <c r="E6" s="3" t="s">
        <v>42</v>
      </c>
      <c r="F6" s="3">
        <v>-241818</v>
      </c>
      <c r="G6" s="3">
        <v>-228572</v>
      </c>
    </row>
    <row r="7" spans="3:20" x14ac:dyDescent="0.25">
      <c r="C7" s="6" t="s">
        <v>27</v>
      </c>
      <c r="D7" s="6" t="s">
        <v>33</v>
      </c>
      <c r="E7" s="3" t="s">
        <v>43</v>
      </c>
      <c r="F7" s="3">
        <v>-285830</v>
      </c>
      <c r="G7" s="3">
        <v>-237129</v>
      </c>
      <c r="J7" s="4" t="s">
        <v>51</v>
      </c>
      <c r="K7" s="3">
        <v>298.14999999999998</v>
      </c>
      <c r="M7" s="8" t="s">
        <v>44</v>
      </c>
      <c r="N7" s="8" t="s">
        <v>45</v>
      </c>
      <c r="O7" s="8" t="s">
        <v>46</v>
      </c>
      <c r="P7" s="8" t="s">
        <v>47</v>
      </c>
      <c r="Q7" s="2"/>
      <c r="R7" s="2"/>
      <c r="S7" s="2"/>
      <c r="T7" s="2"/>
    </row>
    <row r="8" spans="3:20" x14ac:dyDescent="0.25">
      <c r="C8" s="6" t="s">
        <v>25</v>
      </c>
      <c r="D8" s="6" t="s">
        <v>31</v>
      </c>
      <c r="E8" s="3" t="s">
        <v>42</v>
      </c>
      <c r="F8" s="3">
        <v>-393509</v>
      </c>
      <c r="G8" s="3">
        <v>-394359</v>
      </c>
      <c r="J8" s="4" t="s">
        <v>52</v>
      </c>
      <c r="K8" s="3">
        <v>8.3140000000000001</v>
      </c>
      <c r="M8">
        <f>HEAT_CAPACITY!N8</f>
        <v>-6.5670000000000002</v>
      </c>
      <c r="N8">
        <f>HEAT_CAPACITY!N9</f>
        <v>7.4659999999999987E-3</v>
      </c>
      <c r="O8">
        <f>HEAT_CAPACITY!N10</f>
        <v>-2.1639999999999999E-6</v>
      </c>
      <c r="P8">
        <f>HEAT_CAPACITY!N11</f>
        <v>70100</v>
      </c>
      <c r="Q8" t="s">
        <v>65</v>
      </c>
    </row>
    <row r="9" spans="3:20" x14ac:dyDescent="0.25">
      <c r="C9" s="6" t="s">
        <v>24</v>
      </c>
      <c r="D9" s="6" t="s">
        <v>30</v>
      </c>
      <c r="E9" s="3" t="s">
        <v>42</v>
      </c>
      <c r="F9" s="3">
        <v>-110525</v>
      </c>
      <c r="G9" s="3">
        <v>-137169</v>
      </c>
      <c r="J9" s="2" t="s">
        <v>57</v>
      </c>
      <c r="K9">
        <f>F10-(F11^2)</f>
        <v>-74520</v>
      </c>
      <c r="L9" t="s">
        <v>55</v>
      </c>
      <c r="M9">
        <f>HEAT_CAPACITY!P8</f>
        <v>1.8599999999999999</v>
      </c>
      <c r="N9">
        <f>HEAT_CAPACITY!P9</f>
        <v>-5.3800000000000018E-4</v>
      </c>
      <c r="O9">
        <f>HEAT_CAPACITY!P10</f>
        <v>0</v>
      </c>
      <c r="P9">
        <f>HEAT_CAPACITY!P11</f>
        <v>-116400.00000000001</v>
      </c>
      <c r="Q9" t="s">
        <v>66</v>
      </c>
    </row>
    <row r="10" spans="3:20" x14ac:dyDescent="0.25">
      <c r="C10" s="6" t="s">
        <v>22</v>
      </c>
      <c r="D10" s="6" t="s">
        <v>28</v>
      </c>
      <c r="E10" s="3" t="s">
        <v>42</v>
      </c>
      <c r="F10" s="3">
        <v>-74520</v>
      </c>
      <c r="G10" s="3">
        <v>-50460</v>
      </c>
      <c r="J10" s="2" t="s">
        <v>58</v>
      </c>
      <c r="K10">
        <f>F8+F11-F9-F6</f>
        <v>-41166</v>
      </c>
      <c r="L10" t="s">
        <v>56</v>
      </c>
    </row>
    <row r="11" spans="3:20" x14ac:dyDescent="0.25">
      <c r="C11" s="6" t="s">
        <v>23</v>
      </c>
      <c r="D11" s="6" t="s">
        <v>29</v>
      </c>
      <c r="E11" s="3" t="s">
        <v>42</v>
      </c>
      <c r="F11" s="3">
        <v>0</v>
      </c>
      <c r="G11" s="3">
        <v>0</v>
      </c>
      <c r="J11" s="2" t="s">
        <v>59</v>
      </c>
      <c r="K11">
        <f>G10-(2*G11)</f>
        <v>-50460</v>
      </c>
      <c r="L11" t="s">
        <v>55</v>
      </c>
    </row>
    <row r="12" spans="3:20" x14ac:dyDescent="0.25">
      <c r="C12" s="6" t="s">
        <v>40</v>
      </c>
      <c r="D12" s="6" t="s">
        <v>41</v>
      </c>
      <c r="E12" s="3" t="s">
        <v>42</v>
      </c>
      <c r="F12" s="3">
        <v>0</v>
      </c>
      <c r="G12" s="3">
        <v>0</v>
      </c>
      <c r="J12" s="2" t="s">
        <v>60</v>
      </c>
      <c r="K12">
        <f>-G9-G6+G8+G11</f>
        <v>-28618</v>
      </c>
      <c r="L12" t="s">
        <v>56</v>
      </c>
    </row>
    <row r="13" spans="3:20" x14ac:dyDescent="0.25">
      <c r="C13" s="6" t="s">
        <v>26</v>
      </c>
      <c r="D13" s="6" t="s">
        <v>32</v>
      </c>
      <c r="E13" s="3" t="s">
        <v>42</v>
      </c>
      <c r="F13" s="3">
        <v>0</v>
      </c>
      <c r="G13" s="3">
        <v>0</v>
      </c>
      <c r="J13" s="2"/>
    </row>
    <row r="14" spans="3:20" x14ac:dyDescent="0.25">
      <c r="J14" s="2" t="s">
        <v>64</v>
      </c>
      <c r="K14">
        <f>K9-K8*((M8*K7)+(((N8)*(K7^2))/(2))+(((O8)*(K7^3))/(3))-(P8/K7))</f>
        <v>-58886.800303112555</v>
      </c>
    </row>
    <row r="15" spans="3:20" x14ac:dyDescent="0.25">
      <c r="J15" s="2" t="s">
        <v>67</v>
      </c>
      <c r="K15">
        <f>K10-K8*((M9*K7)+(((N9)*(K7^2))/(2))+(((O9)*(K7^3))/(3))-(P9/K7))</f>
        <v>-48823.644472010623</v>
      </c>
    </row>
    <row r="16" spans="3:20" x14ac:dyDescent="0.25">
      <c r="J16" s="2" t="s">
        <v>79</v>
      </c>
      <c r="K16">
        <f>((-K11+K14)/(K8*K7))-(M8*LN(K7))-((N8*K7)/2)-(((O8)*(K7^2))/6)-((P8)/(2*(K7^2)))</f>
        <v>32.541370089395492</v>
      </c>
    </row>
    <row r="17" spans="10:11" x14ac:dyDescent="0.25">
      <c r="J17" s="2" t="s">
        <v>80</v>
      </c>
      <c r="K17">
        <f>((-K12+K15)/(K8*K7))-(M9*LN(K7))-((N9*K7)/2)-(((O9)*(K7^2))/6)-((P9)/(2*(K7^2)))</f>
        <v>-18.01392962881679</v>
      </c>
    </row>
    <row r="18" spans="10:11" x14ac:dyDescent="0.25">
      <c r="J18" s="2"/>
    </row>
    <row r="19" spans="10:11" x14ac:dyDescent="0.25">
      <c r="J19" s="2"/>
    </row>
  </sheetData>
  <mergeCells count="1">
    <mergeCell ref="C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C56B-E3F1-4974-88E5-7A2844958C4D}">
  <dimension ref="A1:M8761"/>
  <sheetViews>
    <sheetView workbookViewId="0">
      <selection activeCell="P18" sqref="P18"/>
    </sheetView>
  </sheetViews>
  <sheetFormatPr defaultRowHeight="15" x14ac:dyDescent="0.25"/>
  <cols>
    <col min="2" max="2" width="10.5703125" customWidth="1"/>
  </cols>
  <sheetData>
    <row r="1" spans="1:13" x14ac:dyDescent="0.25">
      <c r="A1">
        <v>320</v>
      </c>
      <c r="B1">
        <v>320</v>
      </c>
      <c r="C1">
        <v>320</v>
      </c>
      <c r="D1">
        <v>320</v>
      </c>
      <c r="E1">
        <v>320</v>
      </c>
      <c r="F1">
        <v>320</v>
      </c>
      <c r="G1">
        <v>320</v>
      </c>
      <c r="H1">
        <v>320</v>
      </c>
      <c r="I1">
        <v>320</v>
      </c>
      <c r="J1">
        <v>320</v>
      </c>
      <c r="K1">
        <v>320</v>
      </c>
      <c r="L1">
        <v>320</v>
      </c>
      <c r="M1">
        <v>320</v>
      </c>
    </row>
    <row r="2" spans="1:13" x14ac:dyDescent="0.25">
      <c r="A2">
        <v>320</v>
      </c>
      <c r="B2">
        <v>320</v>
      </c>
      <c r="C2">
        <v>320</v>
      </c>
      <c r="D2">
        <v>320</v>
      </c>
      <c r="E2">
        <v>320</v>
      </c>
      <c r="F2">
        <v>320</v>
      </c>
      <c r="G2">
        <v>320</v>
      </c>
      <c r="H2">
        <v>320</v>
      </c>
      <c r="I2">
        <v>320</v>
      </c>
      <c r="J2">
        <v>320</v>
      </c>
      <c r="K2">
        <v>320</v>
      </c>
      <c r="L2">
        <v>320</v>
      </c>
      <c r="M2">
        <v>320</v>
      </c>
    </row>
    <row r="3" spans="1:13" x14ac:dyDescent="0.25">
      <c r="A3">
        <v>320</v>
      </c>
      <c r="B3">
        <v>320</v>
      </c>
      <c r="C3">
        <v>320</v>
      </c>
      <c r="D3">
        <v>320</v>
      </c>
      <c r="E3">
        <v>320</v>
      </c>
      <c r="F3">
        <v>320</v>
      </c>
      <c r="G3">
        <v>320</v>
      </c>
      <c r="H3">
        <v>320</v>
      </c>
      <c r="I3">
        <v>320</v>
      </c>
      <c r="J3">
        <v>320</v>
      </c>
      <c r="K3">
        <v>320</v>
      </c>
      <c r="L3">
        <v>320</v>
      </c>
      <c r="M3">
        <v>320</v>
      </c>
    </row>
    <row r="4" spans="1:13" x14ac:dyDescent="0.25">
      <c r="A4">
        <v>320</v>
      </c>
      <c r="B4">
        <v>320</v>
      </c>
      <c r="C4">
        <v>320</v>
      </c>
      <c r="D4">
        <v>320</v>
      </c>
      <c r="E4">
        <v>320</v>
      </c>
      <c r="F4">
        <v>320</v>
      </c>
      <c r="G4">
        <v>320</v>
      </c>
      <c r="H4">
        <v>320</v>
      </c>
      <c r="I4">
        <v>320</v>
      </c>
      <c r="J4">
        <v>320</v>
      </c>
      <c r="K4">
        <v>320</v>
      </c>
      <c r="L4">
        <v>320</v>
      </c>
      <c r="M4">
        <v>320</v>
      </c>
    </row>
    <row r="5" spans="1:13" x14ac:dyDescent="0.25">
      <c r="A5">
        <v>320</v>
      </c>
      <c r="B5">
        <v>320</v>
      </c>
      <c r="C5">
        <v>320</v>
      </c>
      <c r="D5">
        <v>320</v>
      </c>
      <c r="E5">
        <v>320</v>
      </c>
      <c r="F5">
        <v>320</v>
      </c>
      <c r="G5">
        <v>320</v>
      </c>
      <c r="H5">
        <v>320</v>
      </c>
      <c r="I5">
        <v>320</v>
      </c>
      <c r="J5">
        <v>320</v>
      </c>
      <c r="K5">
        <v>320</v>
      </c>
      <c r="L5">
        <v>320</v>
      </c>
      <c r="M5">
        <v>320</v>
      </c>
    </row>
    <row r="6" spans="1:13" x14ac:dyDescent="0.25">
      <c r="A6">
        <v>320</v>
      </c>
      <c r="B6">
        <v>320</v>
      </c>
      <c r="C6">
        <v>320</v>
      </c>
      <c r="D6">
        <v>320</v>
      </c>
      <c r="E6">
        <v>320</v>
      </c>
      <c r="F6">
        <v>320</v>
      </c>
      <c r="G6">
        <v>320</v>
      </c>
      <c r="H6">
        <v>320</v>
      </c>
      <c r="I6">
        <v>320</v>
      </c>
      <c r="J6">
        <v>320</v>
      </c>
      <c r="K6">
        <v>320</v>
      </c>
      <c r="L6">
        <v>320</v>
      </c>
      <c r="M6">
        <v>320</v>
      </c>
    </row>
    <row r="7" spans="1:13" x14ac:dyDescent="0.25">
      <c r="A7">
        <v>320</v>
      </c>
      <c r="B7">
        <v>320</v>
      </c>
      <c r="C7">
        <v>320</v>
      </c>
      <c r="D7">
        <v>320</v>
      </c>
      <c r="E7">
        <v>320</v>
      </c>
      <c r="F7">
        <v>320</v>
      </c>
      <c r="G7">
        <v>320</v>
      </c>
      <c r="H7">
        <v>320</v>
      </c>
      <c r="I7">
        <v>320</v>
      </c>
      <c r="J7">
        <v>320</v>
      </c>
      <c r="K7">
        <v>320</v>
      </c>
      <c r="L7">
        <v>320</v>
      </c>
      <c r="M7">
        <v>320</v>
      </c>
    </row>
    <row r="8" spans="1:13" x14ac:dyDescent="0.25">
      <c r="A8">
        <v>320</v>
      </c>
      <c r="B8">
        <v>320</v>
      </c>
      <c r="C8">
        <v>320</v>
      </c>
      <c r="D8">
        <v>320</v>
      </c>
      <c r="E8">
        <v>320</v>
      </c>
      <c r="F8">
        <v>320</v>
      </c>
      <c r="G8">
        <v>320</v>
      </c>
      <c r="H8">
        <v>320</v>
      </c>
      <c r="I8">
        <v>320</v>
      </c>
      <c r="J8">
        <v>320</v>
      </c>
      <c r="K8">
        <v>320</v>
      </c>
      <c r="L8">
        <v>320</v>
      </c>
      <c r="M8">
        <v>320</v>
      </c>
    </row>
    <row r="9" spans="1:13" x14ac:dyDescent="0.25">
      <c r="A9">
        <v>320</v>
      </c>
      <c r="B9">
        <v>320</v>
      </c>
      <c r="C9">
        <v>320</v>
      </c>
      <c r="D9">
        <v>320</v>
      </c>
      <c r="E9">
        <v>320</v>
      </c>
      <c r="F9">
        <v>320</v>
      </c>
      <c r="G9">
        <v>320</v>
      </c>
      <c r="H9">
        <v>320</v>
      </c>
      <c r="I9">
        <v>320</v>
      </c>
      <c r="J9">
        <v>320</v>
      </c>
      <c r="K9">
        <v>320</v>
      </c>
      <c r="L9">
        <v>320</v>
      </c>
      <c r="M9">
        <v>320</v>
      </c>
    </row>
    <row r="10" spans="1:13" x14ac:dyDescent="0.25">
      <c r="A10">
        <v>320</v>
      </c>
      <c r="B10">
        <v>320</v>
      </c>
      <c r="C10">
        <v>320</v>
      </c>
      <c r="D10">
        <v>320</v>
      </c>
      <c r="E10">
        <v>320</v>
      </c>
      <c r="F10">
        <v>320</v>
      </c>
      <c r="G10">
        <v>320</v>
      </c>
      <c r="H10">
        <v>320</v>
      </c>
      <c r="I10">
        <v>320</v>
      </c>
      <c r="J10">
        <v>320</v>
      </c>
      <c r="K10">
        <v>320</v>
      </c>
      <c r="L10">
        <v>320</v>
      </c>
      <c r="M10">
        <v>320</v>
      </c>
    </row>
    <row r="11" spans="1:13" x14ac:dyDescent="0.25">
      <c r="A11">
        <v>320</v>
      </c>
      <c r="B11">
        <v>320</v>
      </c>
      <c r="C11">
        <v>320</v>
      </c>
      <c r="D11">
        <v>320</v>
      </c>
      <c r="E11">
        <v>320</v>
      </c>
      <c r="F11">
        <v>320</v>
      </c>
      <c r="G11">
        <v>320</v>
      </c>
      <c r="H11">
        <v>320</v>
      </c>
      <c r="I11">
        <v>320</v>
      </c>
      <c r="J11">
        <v>320</v>
      </c>
      <c r="K11">
        <v>320</v>
      </c>
      <c r="L11">
        <v>320</v>
      </c>
      <c r="M11">
        <v>320</v>
      </c>
    </row>
    <row r="12" spans="1:13" x14ac:dyDescent="0.25">
      <c r="A12">
        <v>320</v>
      </c>
      <c r="B12">
        <v>320</v>
      </c>
      <c r="C12">
        <v>320</v>
      </c>
      <c r="D12">
        <v>320</v>
      </c>
      <c r="E12">
        <v>320</v>
      </c>
      <c r="F12">
        <v>320</v>
      </c>
      <c r="G12">
        <v>320</v>
      </c>
      <c r="H12">
        <v>320</v>
      </c>
      <c r="I12">
        <v>320</v>
      </c>
      <c r="J12">
        <v>320</v>
      </c>
      <c r="K12">
        <v>320</v>
      </c>
      <c r="L12">
        <v>320</v>
      </c>
      <c r="M12">
        <v>320</v>
      </c>
    </row>
    <row r="13" spans="1:13" x14ac:dyDescent="0.25">
      <c r="A13">
        <v>320</v>
      </c>
      <c r="B13">
        <v>320</v>
      </c>
      <c r="C13">
        <v>320</v>
      </c>
      <c r="D13">
        <v>320</v>
      </c>
      <c r="E13">
        <v>320</v>
      </c>
      <c r="F13">
        <v>320</v>
      </c>
      <c r="G13">
        <v>320</v>
      </c>
      <c r="H13">
        <v>320</v>
      </c>
      <c r="I13">
        <v>320</v>
      </c>
      <c r="J13">
        <v>320</v>
      </c>
      <c r="K13">
        <v>320</v>
      </c>
      <c r="L13">
        <v>320</v>
      </c>
      <c r="M13">
        <v>320</v>
      </c>
    </row>
    <row r="14" spans="1:13" x14ac:dyDescent="0.25">
      <c r="A14">
        <v>320</v>
      </c>
      <c r="B14">
        <v>320</v>
      </c>
      <c r="C14">
        <v>320</v>
      </c>
      <c r="D14">
        <v>320</v>
      </c>
      <c r="E14">
        <v>320</v>
      </c>
      <c r="F14">
        <v>320</v>
      </c>
      <c r="G14">
        <v>320</v>
      </c>
      <c r="H14">
        <v>320</v>
      </c>
      <c r="I14">
        <v>320</v>
      </c>
      <c r="J14">
        <v>320</v>
      </c>
      <c r="K14">
        <v>320</v>
      </c>
      <c r="L14">
        <v>320</v>
      </c>
      <c r="M14">
        <v>320</v>
      </c>
    </row>
    <row r="15" spans="1:13" x14ac:dyDescent="0.25">
      <c r="A15">
        <v>320</v>
      </c>
      <c r="B15">
        <v>320</v>
      </c>
      <c r="C15">
        <v>320</v>
      </c>
      <c r="D15">
        <v>320</v>
      </c>
      <c r="E15">
        <v>320</v>
      </c>
      <c r="F15">
        <v>320</v>
      </c>
      <c r="G15">
        <v>320</v>
      </c>
      <c r="H15">
        <v>320</v>
      </c>
      <c r="I15">
        <v>320</v>
      </c>
      <c r="J15">
        <v>320</v>
      </c>
      <c r="K15">
        <v>320</v>
      </c>
      <c r="L15">
        <v>320</v>
      </c>
      <c r="M15">
        <v>320</v>
      </c>
    </row>
    <row r="16" spans="1:13" x14ac:dyDescent="0.25">
      <c r="A16">
        <v>320</v>
      </c>
      <c r="B16">
        <v>320</v>
      </c>
      <c r="C16">
        <v>320</v>
      </c>
      <c r="D16">
        <v>320</v>
      </c>
      <c r="E16">
        <v>320</v>
      </c>
      <c r="F16">
        <v>320</v>
      </c>
      <c r="G16">
        <v>320</v>
      </c>
      <c r="H16">
        <v>320</v>
      </c>
      <c r="I16">
        <v>320</v>
      </c>
      <c r="J16">
        <v>320</v>
      </c>
      <c r="K16">
        <v>320</v>
      </c>
      <c r="L16">
        <v>320</v>
      </c>
      <c r="M16">
        <v>320</v>
      </c>
    </row>
    <row r="17" spans="1:13" x14ac:dyDescent="0.25">
      <c r="A17">
        <v>320</v>
      </c>
      <c r="B17">
        <v>320</v>
      </c>
      <c r="C17">
        <v>320</v>
      </c>
      <c r="D17">
        <v>320</v>
      </c>
      <c r="E17">
        <v>320</v>
      </c>
      <c r="F17">
        <v>320</v>
      </c>
      <c r="G17">
        <v>320</v>
      </c>
      <c r="H17">
        <v>320</v>
      </c>
      <c r="I17">
        <v>320</v>
      </c>
      <c r="J17">
        <v>320</v>
      </c>
      <c r="K17">
        <v>320</v>
      </c>
      <c r="L17">
        <v>320</v>
      </c>
      <c r="M17">
        <v>320</v>
      </c>
    </row>
    <row r="18" spans="1:13" x14ac:dyDescent="0.25">
      <c r="A18">
        <v>320</v>
      </c>
      <c r="B18">
        <v>320</v>
      </c>
      <c r="C18">
        <v>320</v>
      </c>
      <c r="D18">
        <v>320</v>
      </c>
      <c r="E18">
        <v>320</v>
      </c>
      <c r="F18">
        <v>320</v>
      </c>
      <c r="G18">
        <v>320</v>
      </c>
      <c r="H18">
        <v>320</v>
      </c>
      <c r="I18">
        <v>320</v>
      </c>
      <c r="J18">
        <v>320</v>
      </c>
      <c r="K18">
        <v>320</v>
      </c>
      <c r="L18">
        <v>320</v>
      </c>
      <c r="M18">
        <v>320</v>
      </c>
    </row>
    <row r="19" spans="1:13" x14ac:dyDescent="0.25">
      <c r="A19">
        <v>320</v>
      </c>
      <c r="B19">
        <v>320</v>
      </c>
      <c r="C19">
        <v>320</v>
      </c>
      <c r="D19">
        <v>320</v>
      </c>
      <c r="E19">
        <v>320</v>
      </c>
      <c r="F19">
        <v>320</v>
      </c>
      <c r="G19">
        <v>320</v>
      </c>
      <c r="H19">
        <v>320</v>
      </c>
      <c r="I19">
        <v>320</v>
      </c>
      <c r="J19">
        <v>320</v>
      </c>
      <c r="K19">
        <v>320</v>
      </c>
      <c r="L19">
        <v>320</v>
      </c>
      <c r="M19">
        <v>320</v>
      </c>
    </row>
    <row r="20" spans="1:13" x14ac:dyDescent="0.25">
      <c r="A20">
        <v>320</v>
      </c>
      <c r="B20">
        <v>320</v>
      </c>
      <c r="C20">
        <v>320</v>
      </c>
      <c r="D20">
        <v>320</v>
      </c>
      <c r="E20">
        <v>320</v>
      </c>
      <c r="F20">
        <v>320</v>
      </c>
      <c r="G20">
        <v>320</v>
      </c>
      <c r="H20">
        <v>320</v>
      </c>
      <c r="I20">
        <v>320</v>
      </c>
      <c r="J20">
        <v>320</v>
      </c>
      <c r="K20">
        <v>320</v>
      </c>
      <c r="L20">
        <v>320</v>
      </c>
      <c r="M20">
        <v>320</v>
      </c>
    </row>
    <row r="21" spans="1:13" x14ac:dyDescent="0.25">
      <c r="A21">
        <v>320</v>
      </c>
      <c r="B21">
        <v>320</v>
      </c>
      <c r="C21">
        <v>320</v>
      </c>
      <c r="D21">
        <v>320</v>
      </c>
      <c r="E21">
        <v>320</v>
      </c>
      <c r="F21">
        <v>320</v>
      </c>
      <c r="G21">
        <v>320</v>
      </c>
      <c r="H21">
        <v>320</v>
      </c>
      <c r="I21">
        <v>320</v>
      </c>
      <c r="J21">
        <v>320</v>
      </c>
      <c r="K21">
        <v>320</v>
      </c>
      <c r="L21">
        <v>320</v>
      </c>
      <c r="M21">
        <v>320</v>
      </c>
    </row>
    <row r="22" spans="1:13" x14ac:dyDescent="0.25">
      <c r="A22">
        <v>320</v>
      </c>
      <c r="B22">
        <v>320</v>
      </c>
      <c r="C22">
        <v>320</v>
      </c>
      <c r="D22">
        <v>320</v>
      </c>
      <c r="E22">
        <v>320</v>
      </c>
      <c r="F22">
        <v>320</v>
      </c>
      <c r="G22">
        <v>320</v>
      </c>
      <c r="H22">
        <v>320</v>
      </c>
      <c r="I22">
        <v>320</v>
      </c>
      <c r="J22">
        <v>320</v>
      </c>
      <c r="K22">
        <v>320</v>
      </c>
      <c r="L22">
        <v>320</v>
      </c>
      <c r="M22">
        <v>320</v>
      </c>
    </row>
    <row r="23" spans="1:13" x14ac:dyDescent="0.25">
      <c r="A23">
        <v>320</v>
      </c>
      <c r="B23">
        <v>320</v>
      </c>
      <c r="C23">
        <v>320</v>
      </c>
      <c r="D23">
        <v>320</v>
      </c>
      <c r="E23">
        <v>320</v>
      </c>
      <c r="F23">
        <v>320</v>
      </c>
      <c r="G23">
        <v>320</v>
      </c>
      <c r="H23">
        <v>320</v>
      </c>
      <c r="I23">
        <v>320</v>
      </c>
      <c r="J23">
        <v>320</v>
      </c>
      <c r="K23">
        <v>320</v>
      </c>
      <c r="L23">
        <v>320</v>
      </c>
      <c r="M23">
        <v>320</v>
      </c>
    </row>
    <row r="24" spans="1:13" x14ac:dyDescent="0.25">
      <c r="A24">
        <v>320</v>
      </c>
      <c r="B24">
        <v>320</v>
      </c>
      <c r="C24">
        <v>320</v>
      </c>
      <c r="D24">
        <v>320</v>
      </c>
      <c r="E24">
        <v>320</v>
      </c>
      <c r="F24">
        <v>320</v>
      </c>
      <c r="G24">
        <v>320</v>
      </c>
      <c r="H24">
        <v>320</v>
      </c>
      <c r="I24">
        <v>320</v>
      </c>
      <c r="J24">
        <v>320</v>
      </c>
      <c r="K24">
        <v>320</v>
      </c>
      <c r="L24">
        <v>320</v>
      </c>
      <c r="M24">
        <v>320</v>
      </c>
    </row>
    <row r="25" spans="1:13" x14ac:dyDescent="0.25">
      <c r="A25" s="1"/>
    </row>
    <row r="26" spans="1:13" x14ac:dyDescent="0.25">
      <c r="A26" s="1"/>
    </row>
    <row r="27" spans="1:13" x14ac:dyDescent="0.25">
      <c r="A27" s="1"/>
    </row>
    <row r="28" spans="1:13" x14ac:dyDescent="0.25">
      <c r="A28" s="1"/>
    </row>
    <row r="29" spans="1:13" x14ac:dyDescent="0.25">
      <c r="A29" s="1"/>
    </row>
    <row r="30" spans="1:13" x14ac:dyDescent="0.25">
      <c r="A30" s="1"/>
    </row>
    <row r="31" spans="1:13" x14ac:dyDescent="0.25">
      <c r="A31" s="1"/>
    </row>
    <row r="32" spans="1:13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292B-68D3-43A0-811C-87C9A5C1479E}">
  <dimension ref="A1:L8761"/>
  <sheetViews>
    <sheetView workbookViewId="0">
      <selection activeCell="M1" sqref="M1:M1048576"/>
    </sheetView>
  </sheetViews>
  <sheetFormatPr defaultRowHeight="15" x14ac:dyDescent="0.25"/>
  <sheetData>
    <row r="1" spans="1:12" x14ac:dyDescent="0.25">
      <c r="A1">
        <v>2.5</v>
      </c>
      <c r="B1">
        <v>2.5</v>
      </c>
      <c r="C1">
        <v>2.5</v>
      </c>
      <c r="D1">
        <v>2.5</v>
      </c>
      <c r="E1">
        <v>2.5</v>
      </c>
      <c r="F1">
        <v>2.5</v>
      </c>
      <c r="G1">
        <v>2.5</v>
      </c>
      <c r="H1">
        <v>2.5</v>
      </c>
      <c r="I1">
        <v>2.5</v>
      </c>
      <c r="J1">
        <v>2.5</v>
      </c>
      <c r="K1">
        <v>2.5</v>
      </c>
      <c r="L1">
        <v>2.5</v>
      </c>
    </row>
    <row r="2" spans="1:12" x14ac:dyDescent="0.25">
      <c r="A2">
        <v>2.5</v>
      </c>
      <c r="B2">
        <v>2.5</v>
      </c>
      <c r="C2">
        <v>2.5</v>
      </c>
      <c r="D2">
        <v>2.5</v>
      </c>
      <c r="E2">
        <v>2.5</v>
      </c>
      <c r="F2">
        <v>2.5</v>
      </c>
      <c r="G2">
        <v>2.5</v>
      </c>
      <c r="H2">
        <v>2.5</v>
      </c>
      <c r="I2">
        <v>2.5</v>
      </c>
      <c r="J2">
        <v>2.5</v>
      </c>
      <c r="K2">
        <v>2.5</v>
      </c>
      <c r="L2">
        <v>2.5</v>
      </c>
    </row>
    <row r="3" spans="1:12" x14ac:dyDescent="0.25">
      <c r="A3">
        <v>2.5</v>
      </c>
      <c r="B3">
        <v>2.5</v>
      </c>
      <c r="C3">
        <v>2.5</v>
      </c>
      <c r="D3">
        <v>2.5</v>
      </c>
      <c r="E3">
        <v>2.5</v>
      </c>
      <c r="F3">
        <v>2.5</v>
      </c>
      <c r="G3">
        <v>2.5</v>
      </c>
      <c r="H3">
        <v>2.5</v>
      </c>
      <c r="I3">
        <v>2.5</v>
      </c>
      <c r="J3">
        <v>2.5</v>
      </c>
      <c r="K3">
        <v>2.5</v>
      </c>
      <c r="L3">
        <v>2.5</v>
      </c>
    </row>
    <row r="4" spans="1:12" x14ac:dyDescent="0.25">
      <c r="A4">
        <v>2.5</v>
      </c>
      <c r="B4">
        <v>2.5</v>
      </c>
      <c r="C4">
        <v>2.5</v>
      </c>
      <c r="D4">
        <v>2.5</v>
      </c>
      <c r="E4">
        <v>2.5</v>
      </c>
      <c r="F4">
        <v>2.5</v>
      </c>
      <c r="G4">
        <v>2.5</v>
      </c>
      <c r="H4">
        <v>2.5</v>
      </c>
      <c r="I4">
        <v>2.5</v>
      </c>
      <c r="J4">
        <v>2.5</v>
      </c>
      <c r="K4">
        <v>2.5</v>
      </c>
      <c r="L4">
        <v>2.5</v>
      </c>
    </row>
    <row r="5" spans="1:12" x14ac:dyDescent="0.25">
      <c r="A5">
        <v>2.5</v>
      </c>
      <c r="B5">
        <v>2.5</v>
      </c>
      <c r="C5">
        <v>2.5</v>
      </c>
      <c r="D5">
        <v>2.5</v>
      </c>
      <c r="E5">
        <v>2.5</v>
      </c>
      <c r="F5">
        <v>2.5</v>
      </c>
      <c r="G5">
        <v>2.5</v>
      </c>
      <c r="H5">
        <v>2.5</v>
      </c>
      <c r="I5">
        <v>2.5</v>
      </c>
      <c r="J5">
        <v>2.5</v>
      </c>
      <c r="K5">
        <v>2.5</v>
      </c>
      <c r="L5">
        <v>2.5</v>
      </c>
    </row>
    <row r="6" spans="1:12" x14ac:dyDescent="0.25">
      <c r="A6">
        <v>2.5</v>
      </c>
      <c r="B6">
        <v>2.5</v>
      </c>
      <c r="C6">
        <v>2.5</v>
      </c>
      <c r="D6">
        <v>2.5</v>
      </c>
      <c r="E6">
        <v>2.5</v>
      </c>
      <c r="F6">
        <v>2.5</v>
      </c>
      <c r="G6">
        <v>2.5</v>
      </c>
      <c r="H6">
        <v>2.5</v>
      </c>
      <c r="I6">
        <v>2.5</v>
      </c>
      <c r="J6">
        <v>2.5</v>
      </c>
      <c r="K6">
        <v>2.5</v>
      </c>
      <c r="L6">
        <v>2.5</v>
      </c>
    </row>
    <row r="7" spans="1:12" x14ac:dyDescent="0.25">
      <c r="A7">
        <v>2.5</v>
      </c>
      <c r="B7">
        <v>2.5</v>
      </c>
      <c r="C7">
        <v>2.5</v>
      </c>
      <c r="D7">
        <v>2.5</v>
      </c>
      <c r="E7">
        <v>2.5</v>
      </c>
      <c r="F7">
        <v>2.5</v>
      </c>
      <c r="G7">
        <v>2.5</v>
      </c>
      <c r="H7">
        <v>2.5</v>
      </c>
      <c r="I7">
        <v>2.5</v>
      </c>
      <c r="J7">
        <v>2.5</v>
      </c>
      <c r="K7">
        <v>2.5</v>
      </c>
      <c r="L7">
        <v>2.5</v>
      </c>
    </row>
    <row r="8" spans="1:12" x14ac:dyDescent="0.25">
      <c r="A8">
        <v>2.5</v>
      </c>
      <c r="B8">
        <v>2.5</v>
      </c>
      <c r="C8">
        <v>2.5</v>
      </c>
      <c r="D8">
        <v>2.5</v>
      </c>
      <c r="E8">
        <v>2.5</v>
      </c>
      <c r="F8">
        <v>2.5</v>
      </c>
      <c r="G8">
        <v>2.5</v>
      </c>
      <c r="H8">
        <v>2.5</v>
      </c>
      <c r="I8">
        <v>2.5</v>
      </c>
      <c r="J8">
        <v>2.5</v>
      </c>
      <c r="K8">
        <v>2.5</v>
      </c>
      <c r="L8">
        <v>2.5</v>
      </c>
    </row>
    <row r="9" spans="1:12" x14ac:dyDescent="0.25">
      <c r="A9">
        <v>2.5</v>
      </c>
      <c r="B9">
        <v>2.5</v>
      </c>
      <c r="C9">
        <v>2.5</v>
      </c>
      <c r="D9">
        <v>2.5</v>
      </c>
      <c r="E9">
        <v>2.5</v>
      </c>
      <c r="F9">
        <v>2.5</v>
      </c>
      <c r="G9">
        <v>2.5</v>
      </c>
      <c r="H9">
        <v>2.5</v>
      </c>
      <c r="I9">
        <v>2.5</v>
      </c>
      <c r="J9">
        <v>2.5</v>
      </c>
      <c r="K9">
        <v>2.5</v>
      </c>
      <c r="L9">
        <v>2.5</v>
      </c>
    </row>
    <row r="10" spans="1:12" x14ac:dyDescent="0.25">
      <c r="A10">
        <v>2.5</v>
      </c>
      <c r="B10">
        <v>2.5</v>
      </c>
      <c r="C10">
        <v>2.5</v>
      </c>
      <c r="D10">
        <v>2.5</v>
      </c>
      <c r="E10">
        <v>2.5</v>
      </c>
      <c r="F10">
        <v>2.5</v>
      </c>
      <c r="G10">
        <v>2.5</v>
      </c>
      <c r="H10">
        <v>2.5</v>
      </c>
      <c r="I10">
        <v>2.5</v>
      </c>
      <c r="J10">
        <v>2.5</v>
      </c>
      <c r="K10">
        <v>2.5</v>
      </c>
      <c r="L10">
        <v>2.5</v>
      </c>
    </row>
    <row r="11" spans="1:12" x14ac:dyDescent="0.25">
      <c r="A11">
        <v>2.5</v>
      </c>
      <c r="B11">
        <v>2.5</v>
      </c>
      <c r="C11">
        <v>2.5</v>
      </c>
      <c r="D11">
        <v>2.5</v>
      </c>
      <c r="E11">
        <v>2.5</v>
      </c>
      <c r="F11">
        <v>2.5</v>
      </c>
      <c r="G11">
        <v>2.5</v>
      </c>
      <c r="H11">
        <v>2.5</v>
      </c>
      <c r="I11">
        <v>2.5</v>
      </c>
      <c r="J11">
        <v>2.5</v>
      </c>
      <c r="K11">
        <v>2.5</v>
      </c>
      <c r="L11">
        <v>2.5</v>
      </c>
    </row>
    <row r="12" spans="1:12" x14ac:dyDescent="0.25">
      <c r="A12">
        <v>2.5</v>
      </c>
      <c r="B12">
        <v>2.5</v>
      </c>
      <c r="C12">
        <v>2.5</v>
      </c>
      <c r="D12">
        <v>2.5</v>
      </c>
      <c r="E12">
        <v>2.5</v>
      </c>
      <c r="F12">
        <v>2.5</v>
      </c>
      <c r="G12">
        <v>2.5</v>
      </c>
      <c r="H12">
        <v>2.5</v>
      </c>
      <c r="I12">
        <v>2.5</v>
      </c>
      <c r="J12">
        <v>2.5</v>
      </c>
      <c r="K12">
        <v>2.5</v>
      </c>
      <c r="L12">
        <v>2.5</v>
      </c>
    </row>
    <row r="13" spans="1:12" x14ac:dyDescent="0.25">
      <c r="A13">
        <v>2.5</v>
      </c>
      <c r="B13">
        <v>2.5</v>
      </c>
      <c r="C13">
        <v>2.5</v>
      </c>
      <c r="D13">
        <v>2.5</v>
      </c>
      <c r="E13">
        <v>2.5</v>
      </c>
      <c r="F13">
        <v>2.5</v>
      </c>
      <c r="G13">
        <v>2.5</v>
      </c>
      <c r="H13">
        <v>2.5</v>
      </c>
      <c r="I13">
        <v>2.5</v>
      </c>
      <c r="J13">
        <v>2.5</v>
      </c>
      <c r="K13">
        <v>2.5</v>
      </c>
      <c r="L13">
        <v>2.5</v>
      </c>
    </row>
    <row r="14" spans="1:12" x14ac:dyDescent="0.25">
      <c r="A14">
        <v>2.5</v>
      </c>
      <c r="B14">
        <v>2.5</v>
      </c>
      <c r="C14">
        <v>2.5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2.5</v>
      </c>
      <c r="J14">
        <v>2.5</v>
      </c>
      <c r="K14">
        <v>2.5</v>
      </c>
      <c r="L14">
        <v>2.5</v>
      </c>
    </row>
    <row r="15" spans="1:12" x14ac:dyDescent="0.25">
      <c r="A15">
        <v>2.5</v>
      </c>
      <c r="B15">
        <v>2.5</v>
      </c>
      <c r="C15">
        <v>2.5</v>
      </c>
      <c r="D15">
        <v>2.5</v>
      </c>
      <c r="E15">
        <v>2.5</v>
      </c>
      <c r="F15">
        <v>2.5</v>
      </c>
      <c r="G15">
        <v>2.5</v>
      </c>
      <c r="H15">
        <v>2.5</v>
      </c>
      <c r="I15">
        <v>2.5</v>
      </c>
      <c r="J15">
        <v>2.5</v>
      </c>
      <c r="K15">
        <v>2.5</v>
      </c>
      <c r="L15">
        <v>2.5</v>
      </c>
    </row>
    <row r="16" spans="1:12" x14ac:dyDescent="0.25">
      <c r="A16">
        <v>2.5</v>
      </c>
      <c r="B16">
        <v>2.5</v>
      </c>
      <c r="C16">
        <v>2.5</v>
      </c>
      <c r="D16">
        <v>2.5</v>
      </c>
      <c r="E16">
        <v>2.5</v>
      </c>
      <c r="F16">
        <v>2.5</v>
      </c>
      <c r="G16">
        <v>2.5</v>
      </c>
      <c r="H16">
        <v>2.5</v>
      </c>
      <c r="I16">
        <v>2.5</v>
      </c>
      <c r="J16">
        <v>2.5</v>
      </c>
      <c r="K16">
        <v>2.5</v>
      </c>
      <c r="L16">
        <v>2.5</v>
      </c>
    </row>
    <row r="17" spans="1:12" x14ac:dyDescent="0.25">
      <c r="A17">
        <v>2.5</v>
      </c>
      <c r="B17">
        <v>2.5</v>
      </c>
      <c r="C17">
        <v>2.5</v>
      </c>
      <c r="D17">
        <v>2.5</v>
      </c>
      <c r="E17">
        <v>2.5</v>
      </c>
      <c r="F17">
        <v>2.5</v>
      </c>
      <c r="G17">
        <v>2.5</v>
      </c>
      <c r="H17">
        <v>2.5</v>
      </c>
      <c r="I17">
        <v>2.5</v>
      </c>
      <c r="J17">
        <v>2.5</v>
      </c>
      <c r="K17">
        <v>2.5</v>
      </c>
      <c r="L17">
        <v>2.5</v>
      </c>
    </row>
    <row r="18" spans="1:12" x14ac:dyDescent="0.25">
      <c r="A18">
        <v>2.5</v>
      </c>
      <c r="B18">
        <v>2.5</v>
      </c>
      <c r="C18">
        <v>2.5</v>
      </c>
      <c r="D18">
        <v>2.5</v>
      </c>
      <c r="E18">
        <v>2.5</v>
      </c>
      <c r="F18">
        <v>2.5</v>
      </c>
      <c r="G18">
        <v>2.5</v>
      </c>
      <c r="H18">
        <v>2.5</v>
      </c>
      <c r="I18">
        <v>2.5</v>
      </c>
      <c r="J18">
        <v>2.5</v>
      </c>
      <c r="K18">
        <v>2.5</v>
      </c>
      <c r="L18">
        <v>2.5</v>
      </c>
    </row>
    <row r="19" spans="1:12" x14ac:dyDescent="0.25">
      <c r="A19">
        <v>2.5</v>
      </c>
      <c r="B19">
        <v>2.5</v>
      </c>
      <c r="C19">
        <v>2.5</v>
      </c>
      <c r="D19">
        <v>2.5</v>
      </c>
      <c r="E19">
        <v>2.5</v>
      </c>
      <c r="F19">
        <v>2.5</v>
      </c>
      <c r="G19">
        <v>2.5</v>
      </c>
      <c r="H19">
        <v>2.5</v>
      </c>
      <c r="I19">
        <v>2.5</v>
      </c>
      <c r="J19">
        <v>2.5</v>
      </c>
      <c r="K19">
        <v>2.5</v>
      </c>
      <c r="L19">
        <v>2.5</v>
      </c>
    </row>
    <row r="20" spans="1:12" x14ac:dyDescent="0.25">
      <c r="A20">
        <v>2.5</v>
      </c>
      <c r="B20">
        <v>2.5</v>
      </c>
      <c r="C20">
        <v>2.5</v>
      </c>
      <c r="D20">
        <v>2.5</v>
      </c>
      <c r="E20">
        <v>2.5</v>
      </c>
      <c r="F20">
        <v>2.5</v>
      </c>
      <c r="G20">
        <v>2.5</v>
      </c>
      <c r="H20">
        <v>2.5</v>
      </c>
      <c r="I20">
        <v>2.5</v>
      </c>
      <c r="J20">
        <v>2.5</v>
      </c>
      <c r="K20">
        <v>2.5</v>
      </c>
      <c r="L20">
        <v>2.5</v>
      </c>
    </row>
    <row r="21" spans="1:12" x14ac:dyDescent="0.25">
      <c r="A21">
        <v>2.5</v>
      </c>
      <c r="B21">
        <v>2.5</v>
      </c>
      <c r="C21">
        <v>2.5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2.5</v>
      </c>
      <c r="J21">
        <v>2.5</v>
      </c>
      <c r="K21">
        <v>2.5</v>
      </c>
      <c r="L21">
        <v>2.5</v>
      </c>
    </row>
    <row r="22" spans="1:12" x14ac:dyDescent="0.25">
      <c r="A22">
        <v>2.5</v>
      </c>
      <c r="B22">
        <v>2.5</v>
      </c>
      <c r="C22">
        <v>2.5</v>
      </c>
      <c r="D22">
        <v>2.5</v>
      </c>
      <c r="E22">
        <v>2.5</v>
      </c>
      <c r="F22">
        <v>2.5</v>
      </c>
      <c r="G22">
        <v>2.5</v>
      </c>
      <c r="H22">
        <v>2.5</v>
      </c>
      <c r="I22">
        <v>2.5</v>
      </c>
      <c r="J22">
        <v>2.5</v>
      </c>
      <c r="K22">
        <v>2.5</v>
      </c>
      <c r="L22">
        <v>2.5</v>
      </c>
    </row>
    <row r="23" spans="1:12" x14ac:dyDescent="0.25">
      <c r="A23">
        <v>2.5</v>
      </c>
      <c r="B23">
        <v>2.5</v>
      </c>
      <c r="C23">
        <v>2.5</v>
      </c>
      <c r="D23">
        <v>2.5</v>
      </c>
      <c r="E23">
        <v>2.5</v>
      </c>
      <c r="F23">
        <v>2.5</v>
      </c>
      <c r="G23">
        <v>2.5</v>
      </c>
      <c r="H23">
        <v>2.5</v>
      </c>
      <c r="I23">
        <v>2.5</v>
      </c>
      <c r="J23">
        <v>2.5</v>
      </c>
      <c r="K23">
        <v>2.5</v>
      </c>
      <c r="L23">
        <v>2.5</v>
      </c>
    </row>
    <row r="24" spans="1:12" x14ac:dyDescent="0.25">
      <c r="A24">
        <v>2.5</v>
      </c>
      <c r="B24">
        <v>2.5</v>
      </c>
      <c r="C24">
        <v>2.5</v>
      </c>
      <c r="D24">
        <v>2.5</v>
      </c>
      <c r="E24">
        <v>2.5</v>
      </c>
      <c r="F24">
        <v>2.5</v>
      </c>
      <c r="G24">
        <v>2.5</v>
      </c>
      <c r="H24">
        <v>2.5</v>
      </c>
      <c r="I24">
        <v>2.5</v>
      </c>
      <c r="J24">
        <v>2.5</v>
      </c>
      <c r="K24">
        <v>2.5</v>
      </c>
      <c r="L24">
        <v>2.5</v>
      </c>
    </row>
    <row r="25" spans="1:12" x14ac:dyDescent="0.25">
      <c r="A25" s="1"/>
    </row>
    <row r="26" spans="1:12" x14ac:dyDescent="0.25">
      <c r="A26" s="1"/>
    </row>
    <row r="27" spans="1:12" x14ac:dyDescent="0.25">
      <c r="A27" s="1"/>
    </row>
    <row r="28" spans="1:12" x14ac:dyDescent="0.25">
      <c r="A28" s="1"/>
    </row>
    <row r="29" spans="1:12" x14ac:dyDescent="0.25">
      <c r="A29" s="1"/>
    </row>
    <row r="30" spans="1:12" x14ac:dyDescent="0.25">
      <c r="A30" s="1"/>
    </row>
    <row r="31" spans="1:12" x14ac:dyDescent="0.25">
      <c r="A31" s="1"/>
    </row>
    <row r="32" spans="1:1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BIOMASS_DATABASE</vt:lpstr>
      <vt:lpstr>OPERATING_CONDITIONS</vt:lpstr>
      <vt:lpstr>HEAT_CAPACITY</vt:lpstr>
      <vt:lpstr>HEAT_GIBBS</vt:lpstr>
      <vt:lpstr>DEMAND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Hameed, Gul (PG/R - Chemistry &amp; Chem Eng)</dc:creator>
  <cp:lastModifiedBy>Hameed, Gul (PG/R - Chemistry &amp; Chem Eng)</cp:lastModifiedBy>
  <dcterms:created xsi:type="dcterms:W3CDTF">2024-11-25T17:43:25Z</dcterms:created>
  <dcterms:modified xsi:type="dcterms:W3CDTF">2025-07-17T13:01:30Z</dcterms:modified>
</cp:coreProperties>
</file>